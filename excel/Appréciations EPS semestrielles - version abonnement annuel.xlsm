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Utilisateur\Desktop\EPS de Mignot\excel\"/>
    </mc:Choice>
  </mc:AlternateContent>
  <xr:revisionPtr revIDLastSave="0" documentId="13_ncr:1_{26B0A6D2-641A-4689-AE2A-9A0834A8AF18}" xr6:coauthVersionLast="47" xr6:coauthVersionMax="47" xr10:uidLastSave="{00000000-0000-0000-0000-000000000000}"/>
  <workbookProtection workbookAlgorithmName="SHA-512" workbookHashValue="R02NzlgNgJIu/NAs2bePQOK7SQqs09eOeqx5+gZxvc2EIPbVA8d9vd566Da4B/I2yTzWjZmFLQgQsP9v/Fwfpg==" workbookSaltValue="AHr3MGM4uRcJK1cWRpBfFQ==" workbookSpinCount="100000" lockStructure="1"/>
  <bookViews>
    <workbookView xWindow="-120" yWindow="-120" windowWidth="24240" windowHeight="13020" xr2:uid="{00000000-000D-0000-FFFF-FFFF00000000}"/>
  </bookViews>
  <sheets>
    <sheet name="Sécurité" sheetId="21" r:id="rId1"/>
    <sheet name="Licence" sheetId="22" state="veryHidden" r:id="rId2"/>
    <sheet name="Accueil" sheetId="23" state="veryHidden" r:id="rId3"/>
    <sheet name="Base" sheetId="1" state="veryHidden" r:id="rId4"/>
    <sheet name="Profil" sheetId="19" state="veryHidden" r:id="rId5"/>
    <sheet name="1er semestre" sheetId="13" state="veryHidden" r:id="rId6"/>
    <sheet name="2e semestre" sheetId="20" state="veryHidden"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20" l="1" a="1"/>
  <c r="J4" i="20"/>
  <c r="L4" i="20" s="1" a="1"/>
  <c r="J5" i="20"/>
  <c r="L5" i="20" s="1" a="1"/>
  <c r="J6" i="20"/>
  <c r="L6" i="20" s="1" a="1"/>
  <c r="J7" i="20"/>
  <c r="L7" i="20" s="1" a="1"/>
  <c r="J8" i="20"/>
  <c r="L8" i="20" s="1" a="1"/>
  <c r="J9" i="20"/>
  <c r="L9" i="20" s="1" a="1"/>
  <c r="J10" i="20"/>
  <c r="L10" i="20" s="1" a="1"/>
  <c r="J11" i="20"/>
  <c r="L11" i="20" s="1" a="1"/>
  <c r="J12" i="20"/>
  <c r="L12" i="20" a="1"/>
  <c r="J13" i="20"/>
  <c r="L13" i="20" s="1" a="1"/>
  <c r="J14" i="20"/>
  <c r="L14" i="20" a="1"/>
  <c r="J15" i="20"/>
  <c r="L15" i="20" s="1" a="1"/>
  <c r="J16" i="20"/>
  <c r="L16" i="20" s="1" a="1"/>
  <c r="J17" i="20"/>
  <c r="L17" i="20" a="1"/>
  <c r="J18" i="20"/>
  <c r="L18" i="20" a="1"/>
  <c r="J19" i="20"/>
  <c r="L19" i="20" a="1"/>
  <c r="J20" i="20"/>
  <c r="L20" i="20" a="1"/>
  <c r="J21" i="20"/>
  <c r="L21" i="20" a="1"/>
  <c r="J22" i="20"/>
  <c r="L22" i="20" a="1"/>
  <c r="J23" i="20"/>
  <c r="L23" i="20" s="1" a="1"/>
  <c r="J24" i="20"/>
  <c r="L24" i="20" a="1"/>
  <c r="J25" i="20"/>
  <c r="L25" i="20" a="1"/>
  <c r="J26" i="20"/>
  <c r="L26" i="20" a="1"/>
  <c r="J27" i="20"/>
  <c r="L27" i="20" a="1"/>
  <c r="J28" i="20"/>
  <c r="L28" i="20" a="1"/>
  <c r="J29" i="20"/>
  <c r="L29" i="20" a="1"/>
  <c r="J30" i="20"/>
  <c r="L30" i="20" s="1" a="1"/>
  <c r="J31" i="20"/>
  <c r="L31" i="20" a="1"/>
  <c r="J32" i="20"/>
  <c r="L32" i="20" s="1" a="1"/>
  <c r="B1" i="22" a="1"/>
  <c r="E3" i="20"/>
  <c r="I3" i="13"/>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I4" i="13"/>
  <c r="K4" i="13" s="1" a="1"/>
  <c r="I5" i="13"/>
  <c r="K5" i="13" s="1" a="1"/>
  <c r="I6" i="13"/>
  <c r="K6" i="13" s="1" a="1"/>
  <c r="I7" i="13"/>
  <c r="K7" i="13" s="1" a="1"/>
  <c r="I8" i="13"/>
  <c r="K8" i="13" s="1" a="1"/>
  <c r="I9" i="13"/>
  <c r="K9" i="13" s="1" a="1"/>
  <c r="I10" i="13"/>
  <c r="K10" i="13" s="1" a="1"/>
  <c r="I11" i="13"/>
  <c r="K11" i="13" s="1" a="1"/>
  <c r="I12" i="13"/>
  <c r="K12" i="13" s="1" a="1"/>
  <c r="I13" i="13"/>
  <c r="K13" i="13" s="1" a="1"/>
  <c r="I14" i="13"/>
  <c r="K14" i="13" s="1" a="1"/>
  <c r="I15" i="13"/>
  <c r="K15" i="13" s="1" a="1"/>
  <c r="I16" i="13"/>
  <c r="K16" i="13" s="1" a="1"/>
  <c r="I17" i="13"/>
  <c r="K17" i="13" s="1" a="1"/>
  <c r="I18" i="13"/>
  <c r="K18" i="13" s="1" a="1"/>
  <c r="I19" i="13"/>
  <c r="K19" i="13" s="1" a="1"/>
  <c r="I20" i="13"/>
  <c r="K20" i="13" s="1" a="1"/>
  <c r="I21" i="13"/>
  <c r="K21" i="13" s="1" a="1"/>
  <c r="I22" i="13"/>
  <c r="K22" i="13" s="1" a="1"/>
  <c r="I23" i="13"/>
  <c r="K23" i="13" s="1" a="1"/>
  <c r="I24" i="13"/>
  <c r="K24" i="13" s="1" a="1"/>
  <c r="I25" i="13"/>
  <c r="K25" i="13" s="1" a="1"/>
  <c r="I26" i="13"/>
  <c r="K26" i="13" s="1" a="1"/>
  <c r="I27" i="13"/>
  <c r="K27" i="13" s="1" a="1"/>
  <c r="I28" i="13"/>
  <c r="K28" i="13" s="1" a="1"/>
  <c r="I29" i="13"/>
  <c r="K29" i="13" s="1" a="1"/>
  <c r="I30" i="13"/>
  <c r="K30" i="13" s="1" a="1"/>
  <c r="I31" i="13"/>
  <c r="K31" i="13" s="1" a="1"/>
  <c r="I32" i="13"/>
  <c r="K32" i="13" s="1" a="1"/>
  <c r="K3" i="13" l="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<sst xmlns="http://schemas.openxmlformats.org/spreadsheetml/2006/main" count="565" uniqueCount="218">
  <si>
    <t>Tonalité</t>
  </si>
  <si>
    <t>Appréciation</t>
  </si>
  <si>
    <t>Profil</t>
  </si>
  <si>
    <t>Bienveillant</t>
  </si>
  <si>
    <t>Neutre</t>
  </si>
  <si>
    <t>Exigeant</t>
  </si>
  <si>
    <t>Investi &amp; autonome</t>
  </si>
  <si>
    <t>Investi mais fragile</t>
  </si>
  <si>
    <t>Irrégulier mais capable</t>
  </si>
  <si>
    <t>Peu engagé mais sans difficulté</t>
  </si>
  <si>
    <t>En difficulté et peu investi</t>
  </si>
  <si>
    <t>En difficulté mais très volontaire</t>
  </si>
  <si>
    <t>Très discret mais sérieux</t>
  </si>
  <si>
    <t>Dynamique mais dispersé</t>
  </si>
  <si>
    <t>Attitude exemplaire mais résultats moyens</t>
  </si>
  <si>
    <t>Élève empêché mais impliqué</t>
  </si>
  <si>
    <t xml:space="preserve"> </t>
  </si>
  <si>
    <t>Sexe</t>
  </si>
  <si>
    <t>Prénom</t>
  </si>
  <si>
    <t>Description</t>
  </si>
  <si>
    <t>Profil d'élève</t>
  </si>
  <si>
    <t>Copier-coller valeur de l'appréciation</t>
  </si>
  <si>
    <t>[Prénom] est autonome et appliquée. Elle s’investit avec régularité dans les activités physiques et respecte les consignes. Son sérieux est apprécié.</t>
  </si>
  <si>
    <t>[Prénom] est très autonome et rigoureuse. Son travail est solide, mais elle gagnerait à prendre davantage d’initiatives dans les situations motrices pour progresser pleinement.</t>
  </si>
  <si>
    <t>[Prénom] est autonome et appliqué. Il s’investit avec régularité dans les activités physiques et respecte les consignes. Son sérieux est apprécié.</t>
  </si>
  <si>
    <t>[Prénom] est très autonome et rigoureux. Son travail est solide, mais il gagnerait à prendre davantage d’initiatives dans les situations motrices pour progresser pleinement.</t>
  </si>
  <si>
    <t>[Prénom] est motivée mais encore fragile. Elle doit poursuivre ses efforts pour consolider ses acquis et gagner en aisance dans les activités physiques.</t>
  </si>
  <si>
    <t>[Prénom] est volontaire et appliqué. Il s’investit malgré certaines fragilités motrices ou techniques. Ses efforts constants sont à souligner.</t>
  </si>
  <si>
    <t>[Prénom] est sérieux et volontaire. Il progresse en EPS malgré quelques difficultés. Son engagement est régulier.</t>
  </si>
  <si>
    <t>[Prénom] est motivé mais encore fragile. Il doit poursuivre ses efforts pour consolider ses acquis et gagner en aisance dans les activités physiques.</t>
  </si>
  <si>
    <t>[Prénom] est capable et souvent pertinente dans les activités physiques, mais son investissement varie. Avec plus de régularité, elle pourrait progresser nettement.</t>
  </si>
  <si>
    <t>[Prénom] est capable mais irrégulière. Les résultats en EPS dépendent trop de son engagement.</t>
  </si>
  <si>
    <t>[Prénom] est capable mais trop inconstante. Une implication plus régulière est nécessaire pour stabiliser ses performances.</t>
  </si>
  <si>
    <t>[Prénom] est capable et souvent pertinent dans les activités physiques, mais son investissement varie. Avec plus de régularité, il pourrait progresser nettement.</t>
  </si>
  <si>
    <t>[Prénom] est capable mais irrégulier. Les résultats en EPS dépendent trop de son engagement.</t>
  </si>
  <si>
    <t>[Prénom] est capable mais trop inconstant. Une implication plus régulière est nécessaire pour stabiliser ses performances.</t>
  </si>
  <si>
    <t xml:space="preserve"> [Prénom] est calme et respectueuse, mais trop peu impliquée dans les activités physiques. Avec plus d’engagement, elle pourrait mieux exploiter ses capacités.</t>
  </si>
  <si>
    <t xml:space="preserve">[Prénom] est correcte mais peu investie. Une participation plus active en EPS serait bénéfique. </t>
  </si>
  <si>
    <t>[Prénom] est capable mais insuffisamment impliquée. L’investissement en EPS doit être renforcé pour progresser.</t>
  </si>
  <si>
    <t>[Prénom] est calme et respectueux, mais trop peu impliqué dans les activités physiques. Avec plus d’engagement, il pourrait mieux exploiter ses capacités.</t>
  </si>
  <si>
    <t xml:space="preserve"> [Prénom] est correct mais peu investi. Une participation plus active en EPS serait bénéfique.</t>
  </si>
  <si>
    <t>[Prénom] est capable mais insuffisamment impliqué. L’investissement en EPS doit être renforcé pour progresser.</t>
  </si>
  <si>
    <t>[Prénom] est en difficulté, mais le potentiel existe. Elle gagnerait à s’impliquer davantage dans les activités physiques pour progresser.</t>
  </si>
  <si>
    <t>[Prénom] est en difficulté et insuffisamment impliqué. L’investissement en EPS doit évoluer rapidement.</t>
  </si>
  <si>
    <t>[Prénom] est en difficulté mais très volontaire. Son attitude positive et ses efforts constants en EPS sont à souligner.</t>
  </si>
  <si>
    <t>[Prénom] est volontaire malgré ses difficultés. Les progrès sont visibles, notamment dans la coopération et le respect des consignes.</t>
  </si>
  <si>
    <t>[Prénom] est sérieux mais trop effacé. Une participation plus active en EPS est attendue.</t>
  </si>
  <si>
    <t xml:space="preserve"> [Prénom] est sérieux mais trop discret. Il doit s’engager davantage dans les situations motrices pour progresser. </t>
  </si>
  <si>
    <t>[Prénom] est vive et pleine d’énergie, mais parfois dispersée. Avec plus de concentration, elle pourrait mieux canaliser ses efforts en EPS.</t>
  </si>
  <si>
    <t>[Prénom] est dynamique mais trop dispersée. Elle doit gagner en rigueur et en maîtrise dans les activités physiques.</t>
  </si>
  <si>
    <t xml:space="preserve"> [Prénom] est trop dispersée. La concentration et le respect des consignes doivent être renforcés pour progresser.</t>
  </si>
  <si>
    <t>[Prénom] est dynamique et plein d’énergie, mais parfois dispersé. Avec plus de concentration, il pourrait mieux canaliser ses efforts en EPS.</t>
  </si>
  <si>
    <t>[Prénom] est dynamique mais trop dispersé. Il doit gagner en rigueur et en maîtrise dans les activités physiques.</t>
  </si>
  <si>
    <t>[Prénom] est trop dispersé. La concentration et le respect des consignes doivent être renforcés pour progresser.</t>
  </si>
  <si>
    <t>Malgré les contraintes (dispense, blessure…), [Prénom] reste impliquée et sérieuse. Elle participe activement dans les rôles possibles et conserve une attitude positive.</t>
  </si>
  <si>
    <t>[Prénom] est volontaire malgré les contraintes. Il reste attentif et engagé dans les rôles d’observation, d’arbitrage ou d’organisation.</t>
  </si>
  <si>
    <t>Malgré les contraintes (dispense, blessure…), [Prénom] reste impliqué et sérieux. Il participe activement dans les rôles possibles et conserve une attitude positive.</t>
  </si>
  <si>
    <t>[Prénom] possède de réelles capacités en EPS et montre de belles choses lorsqu’elle s’implique. Elle gagnerait à mobiliser ce potentiel plus régulièrement pendant les séances, où son engagement reste trop variable.</t>
  </si>
  <si>
    <t>[Prénom] a de bonnes aptitudes et réussit lorsqu’elle s’investit, mais son engagement en séance est trop irrégulier. Une participation plus constante est attendue.</t>
  </si>
  <si>
    <t>[Prénom] a les capacités pour faire beaucoup mieux, mais son manque d’implication en séance freine nettement sa progression. Elle doit s’engager davantage dans les tâches proposées.</t>
  </si>
  <si>
    <t>[Prénom] possède de très bonnes capacités en EPS et réussit dès qu’il s’implique. Il gagnerait à mobiliser ce potentiel plus régulièrement pendant les séances, où son engagement reste trop variable.</t>
  </si>
  <si>
    <t>[Prénom] a de bonnes aptitudes et réussit lorsqu’il s’investit, mais son engagement en séance est trop irrégulier. Une participation plus constante est attendue.</t>
  </si>
  <si>
    <t>[Prénom] a les capacités pour faire beaucoup mieux, mais son manque d’implication en séance freine nettement sa progression. Il doit s’engager davantage dans les tâches proposées.</t>
  </si>
  <si>
    <t>Capable mais nonchalant</t>
  </si>
  <si>
    <t>[Prénom] est impliquée malgré les contraintes, mais pourrait encore gagner en régularité dans les rôles dits sociaux (observation, arbitrage …).</t>
  </si>
  <si>
    <t>[Prénom] est sérieuse et volontaire. Elle progresse en EPS malgré quelques difficultés. Son engagement est régulier.</t>
  </si>
  <si>
    <t>[Prénom] est volontaire et appliquée. Elle s’investit malgré certaines fragilités motrices ou techniques. Ses efforts constants sont à souligner.</t>
  </si>
  <si>
    <t>Investi mais dépendant de sa concentration</t>
  </si>
  <si>
    <t>[Prénom] participe très peu aux activités et se laisse souvent distraire. Elle gagnerait à s’impliquer davantage et à adopter une attitude plus constructive pour progresser en EPS.</t>
  </si>
  <si>
    <t>[Prénom] s’implique peu en EPS et se montre régulièrement distraite. Une attitude plus sérieuse et un meilleur respect des consignes sont attendus.</t>
  </si>
  <si>
    <t>[Prénom] ne s’investit pas suffisamment et adopte trop souvent une attitude perturbatrice. Elle doit changer de comportement et s’engager réellement dans les activités pour progresser.</t>
  </si>
  <si>
    <t>[Prénom] participe très peu aux activités et se laisse souvent distraire. Il gagnerait à s’impliquer davantage et à adopter une attitude plus constructive pour progresser en EPS.</t>
  </si>
  <si>
    <t>[Prénom] s’implique peu en EPS et se montre régulièrement distrait. Une attitude plus sérieuse et un meilleur respect des consignes sont attendus.</t>
  </si>
  <si>
    <t>[Prénom] ne s’investit pas suffisamment et adopte trop souvent une attitude perturbatrice. Il doit changer de comportement et s’engager réellement dans les activités pour progresser.</t>
  </si>
  <si>
    <t>Peu investi et perturbateur</t>
  </si>
  <si>
    <t>[Prénom] adopte une attitude exemplaire en EPS. Elle participe avec sérieux et constance, et obtient des résultats corrects grâce à son engagement régulier.</t>
  </si>
  <si>
    <t>[Prénom] présente une attitude exemplaire, mais ses résultats restent simplement corrects au regard de son implication. Elle peut encore viser davantage pour progresser pleinement.</t>
  </si>
  <si>
    <t>[Prénom] adopte une attitude exemplaire en EPS. Il participe avec sérieux et constance, et obtient des résultats corrects grâce à son engagement régulier.</t>
  </si>
  <si>
    <t>[Prénom] présente une attitude exemplaire, mais ses résultats restent simplement corrects au regard de son implication. Il peut encore viser davantage pour progresser pleinement.</t>
  </si>
  <si>
    <t>[Prénom] est sérieuse mais trop discrète. Elle doit s’engager davantage dans les situations motrices pour progresser.</t>
  </si>
  <si>
    <t>[Prénom] est sérieuse mais trop effacée. Une participation plus active en EPS est attendue.</t>
  </si>
  <si>
    <t>[Prénom] est discrète et sérieuse. Elle réalise les tâches avec soin, mais gagnerait à s’affirmer davantage dans les activités collectives.</t>
  </si>
  <si>
    <t>[Prénom] est en difficulté, mais le potentiel existe. Il gagnerait à s’impliquer davantage dans les activités physiques pour progresser.</t>
  </si>
  <si>
    <t>[Prénom] est en difficulté et insuffisamment impliquée. L’investissement en EPS doit évoluer rapidement.</t>
  </si>
  <si>
    <t>[Prénom] est en difficulté et peu investie. Un travail plus sérieux et une participation plus constante sont nécessaires.</t>
  </si>
  <si>
    <t>[Prénom] est en difficulté et peu investi. Un travail plus sérieux et une participation plus constante sont nécessaires.</t>
  </si>
  <si>
    <t>Investi de manière sélective</t>
  </si>
  <si>
    <t>[Prénom] s’investit pleinement dans certaines activités et montre alors de réelles capacités. Elle gagnerait à maintenir cet engagement dans l’ensemble des APSA pour progresser plus régulièrement.</t>
  </si>
  <si>
    <t>[Prénom] s’implique davantage dans certaines activités que dans d’autres. Une participation plus homogène lui permettrait de progresser de manière plus régulière en EPS.</t>
  </si>
  <si>
    <t>[Prénom] ne s’investit pas de manière constante : elle travaille sérieusement dans certaines APSA mais se désengage dans d’autres. Elle doit adopter une attitude plus régulière pour progresser pleinement.</t>
  </si>
  <si>
    <t>[Prénom] s’investit pleinement dans certaines activités et montre alors de réelles capacités. Il gagnerait à maintenir cet engagement dans l’ensemble des APSA pour progresser plus régulièrement.</t>
  </si>
  <si>
    <t>[Prénom] ne s’investit pas de manière constante : il travaille sérieusement dans certaines APSA mais se désengage dans d’autres. Il doit adopter une attitude plus régulière pour progresser pleinement.</t>
  </si>
  <si>
    <t>Fragile mais passif</t>
  </si>
  <si>
    <t>[Prénom] participe aux activités et réalise les tâches demandées, mais reste très passive. Ses fragilités motrices sont réelles, et elle gagnerait à s’impliquer davantage pour progresser. Avec un peu plus d’énergie et d’engagement, elle pourrait franchir un cap.</t>
  </si>
  <si>
    <t>[Prénom] présente des fragilités et s’implique peu dans les activités. Elle réalise les exercices mais sans véritable engagement, ce qui limite ses progrès. Une participation plus active serait nécessaire.</t>
  </si>
  <si>
    <t>[Prénom] se contente du minimum et reste trop passive en EPS. Ses fragilités sont accentuées par un manque d’implication. Elle doit s’engager davantage dans les tâches pour espérer progresser.</t>
  </si>
  <si>
    <t>[Prénom] participe aux activités et réalise les tâches demandées, mais reste très passif. Ses fragilités motrices sont réelles, et il gagnerait à s’impliquer davantage pour progresser. Avec un peu plus d’énergie et d’engagement, il pourrait franchir un cap.</t>
  </si>
  <si>
    <t>[Prénom] présente des fragilités et s’implique peu dans les activités. Il réalise les exercices mais sans véritable engagement, ce qui limite ses progrès. Une participation plus active serait nécessaire.</t>
  </si>
  <si>
    <t>[Prénom] se contente du minimum et reste trop passif en EPS. Ses fragilités sont accentuées par un manque d’implication. Il doit s’engager davantage dans les tâches pour espérer progresser.</t>
  </si>
  <si>
    <t>Impliqué et peu investi</t>
  </si>
  <si>
    <t>[Prénom] participe aux activités et réalise les tâches demandées avec sérieux, mais son implication reste limitée. Elle gagnerait à s’engager davantage dans l’effort pour progresser plus régulièrement et exploiter pleinement ses capacités.</t>
  </si>
  <si>
    <t>[Prénom] est présente et réalise le travail demandé, mais sans réelle intensité ni volonté de dépasser le minimum. Une implication plus franche serait nécessaire pour progresser en EPS.</t>
  </si>
  <si>
    <t>[Prénom] se contente trop souvent d’un investissement superficiel. Elle fait ce qui est demandé, mais sans engagement réel, ce qui freine nettement sa progression. Elle doit s’impliquer davantage dans l’effort.</t>
  </si>
  <si>
    <t>[Prénom] participe aux activités et réalise les tâches demandées avec sérieux, mais son implication reste limitée. Il gagnerait à s’engager davantage dans l’effort pour progresser plus régulièrement et exploiter pleinement ses capacités.</t>
  </si>
  <si>
    <t>[Prénom] est présent et réalise le travail demandé, mais sans réelle intensité ni volonté de dépasser le minimum. Une implication plus franche serait nécessaire pour progresser en EPS.</t>
  </si>
  <si>
    <t>[Prénom] se contente trop souvent d’un investissement superficiel. Il fait ce qui est demandé, mais sans engagement réel, ce qui freine nettement sa progression. Il doit s’impliquer davantage dans l’effort.</t>
  </si>
  <si>
    <t>[Prénom] se montre autonome et consciencieuse. Elle s’engage de manière régulière dans les activités physiques et respecte les consignes données. Son sérieux est apprécié.</t>
  </si>
  <si>
    <t>[Prénom] est une élève autonome et appliquée. Son travail est de qualité, mais elle pourrait encore progresser en prenant davantage d’initiatives dans les situations motrices proposées.</t>
  </si>
  <si>
    <t>[Prénom] se montre autonome et consciencieux. Il s’engage de manière régulière dans les activités physiques et respecte les consignes données. Son sérieux est apprécié.</t>
  </si>
  <si>
    <t>[Prénom] est un élève autonome et appliqué. Son travail est de qualité, mais il pourrait encore progresser en prenant davantage d’initiatives dans les situations motrices proposées.</t>
  </si>
  <si>
    <t>[Prénom] fait preuve de volonté et de sérieux. Elle s’investit malgré quelques fragilités motrices ou techniques. La régularité de ses efforts mérite d’être soulignée.</t>
  </si>
  <si>
    <t>[Prénom] est appliquée et volontaire. Malgré certaines difficultés, elle progresse en EPS grâce à un engagement régulier.</t>
  </si>
  <si>
    <t>[Prénom] montre de la motivation mais reste encore fragile dans certaines activités. Elle doit continuer à fournir des efforts afin de renforcer ses acquis et gagner en confiance dans la pratique physique.</t>
  </si>
  <si>
    <t>[Prénom] fait preuve de volonté et de sérieux. Il s’investit malgré quelques fragilités motrices ou techniques. La régularité de ses efforts mérite d’être soulignée.</t>
  </si>
  <si>
    <t>[Prénom] est appliqué et volontaire. Malgré certaines difficultés, il progresse en EPS grâce à un engagement régulier.</t>
  </si>
  <si>
    <t>[Prénom] montre de la motivation mais reste encore fragile dans certaines activités. Il doit continuer à fournir des efforts afin de renforcer ses acquis et gagner en confiance dans la pratique physique.</t>
  </si>
  <si>
    <t>[Prénom] possède de bonnes capacités dans les activités physiques, mais son investissement manque de constance. Avec davantage de régularité, elle pourrait progresser de façon plus marquée.</t>
  </si>
  <si>
    <t>[Prénom] est capable mais manque de régularité. Ses résultats en EPS restent trop liés à son niveau d’engagement.</t>
  </si>
  <si>
    <t>[Prénom] dispose de capacités intéressantes mais demeure trop irrégulière. Une implication plus constante lui permettrait de stabiliser ses performances.</t>
  </si>
  <si>
    <t>[Prénom] possède de bonnes capacités dans les activités physiques, mais son investissement manque de constance. Avec davantage de régularité, il pourrait progresser de façon plus marquée.</t>
  </si>
  <si>
    <t>[Prénom] dispose de capacités intéressantes mais demeure trop irrégulier. Une implication plus constante lui permettrait de stabiliser ses performances.</t>
  </si>
  <si>
    <t>[Prénom] est calme et respectueuse, mais son implication dans les activités physiques reste insuffisante. Un engagement plus soutenu lui permettrait de mieux valoriser ses capacités.</t>
  </si>
  <si>
    <t>[Prénom] adopte une attitude correcte mais reste peu investie. Une participation davantage active en EPS lui serait profitable.</t>
  </si>
  <si>
    <t>[Prénom] a des capacités, mais son investissement demeure insuffisant. Un engagement plus important en EPS est attendu pour favoriser ses progrès.</t>
  </si>
  <si>
    <t>[Prénom] est calme et respectueux, mais son implication dans les activités physiques reste insuffisante. Un engagement plus soutenu lui permettrait de mieux valoriser ses capacités.</t>
  </si>
  <si>
    <t>[Prénom] adopte une attitude correcte mais reste peu investi. Une participation davantage active en EPS lui serait profitable.</t>
  </si>
  <si>
    <t>[Prénom] rencontre encore des difficultés, mais possède des possibilités de progression. Une implication plus importante dans les activités physiques lui permettrait d’évoluer davantage.</t>
  </si>
  <si>
    <t>[Prénom] est en difficulté et manque d’investissement. Un travail plus régulier ainsi qu’une participation plus soutenue sont attendus.</t>
  </si>
  <si>
    <t>[Prénom] reste en difficulté et insuffisamment impliquée. Son engagement en EPS doit rapidement devenir plus sérieux.</t>
  </si>
  <si>
    <t>[Prénom] reste en difficulté et insuffisamment impliqué. Son engagement en EPS doit rapidement devenir plus sérieux.</t>
  </si>
  <si>
    <t>[Prénom] rencontre des difficultés mais fait preuve d’une réelle bonne volonté. Son attitude positive et la constance de ses efforts en EPS sont appréciées.</t>
  </si>
  <si>
    <t>[Prénom] reste volontaire malgré ses difficultés. Des progrès sont observables, en particulier dans la coopération et le respect des consignes.</t>
  </si>
  <si>
    <t>[Prénom] est discrète et appliquée. Elle réalise les tâches avec sérieux, mais gagnerait à prendre davantage sa place dans les activités collectives.</t>
  </si>
  <si>
    <t>[Prénom] est sérieuse mais reste trop réservée. Une implication plus visible en EPS est attendue.</t>
  </si>
  <si>
    <t>[Prénom] travaille avec sérieux mais demeure trop discrète. Elle doit davantage s’engager dans les situations motrices pour progresser.</t>
  </si>
  <si>
    <t>[Prénom] est sérieux mais reste trop réservé. Une implication plus visible en EPS est attendue.</t>
  </si>
  <si>
    <t>[Prénom] travaille avec sérieux mais demeure trop discret. Il doit davantage s’engager dans les situations motrices pour progresser.</t>
  </si>
  <si>
    <t xml:space="preserve">[Prénom] montre beaucoup d’énergie mais peine parfois à rester focalisée. En améliorant sa concentration, elle gagnerait en efficacité en EPS.
</t>
  </si>
  <si>
    <t xml:space="preserve">[Prénom] participe avec dynamisme, mais son manque de stabilité l’empêche d’être pleinement rigoureuse dans les activités physiques.
</t>
  </si>
  <si>
    <t xml:space="preserve">[Prénom] a tendance à se disperser. Un meilleur respect des consignes et une attention plus soutenue lui permettraient de progresser.
</t>
  </si>
  <si>
    <t xml:space="preserve">[Prénom] est motivé mais manque encore de rigueur. Il doit apprendre à mieux maîtriser son attention pour être plus performant.
</t>
  </si>
  <si>
    <t>[Prénom] se laisse facilement distraire. Une concentration plus constante et un respect plus précis des consignes l’aideraient à avancer.</t>
  </si>
  <si>
    <r>
      <t>[Prénom]</t>
    </r>
    <r>
      <rPr>
        <sz val="11"/>
        <color theme="1"/>
        <rFont val="Calibri"/>
        <family val="2"/>
        <scheme val="minor"/>
      </rPr>
      <t xml:space="preserve"> est très énergique, mais parfois trop dispersé. En se concentrant davantage, il pourrait mieux structurer ses efforts en EPS.</t>
    </r>
  </si>
  <si>
    <t xml:space="preserve">[Prénom] adopte une attitude très sérieuse et respectueuse. Ses résultats, solides et réguliers, témoignent d’un investissement réel dans les activités proposées.
</t>
  </si>
  <si>
    <t>[Prénom] montre une attitude exemplaire et un engagement constant. Ses résultats restent corrects, mais elle dispose encore d’une marge pour viser plus haut et progresser davantage.</t>
  </si>
  <si>
    <t>[Prénom] montre une attitude exemplaire et un engagement constant. Ses résultats restent corrects, mais il dispose encore d’une marge pour viser plus haut et progresser davantage.</t>
  </si>
  <si>
    <t>[Prénom] adopte une attitude très sérieuse et respectueuse. Ses résultats, solides et réguliers, témoignent d’un investissement réel dans les activités proposées.</t>
  </si>
  <si>
    <t xml:space="preserve">[Prénom] reste investie et sérieuse malgré les contraintes (dispense, blessure…). Elle s’implique pleinement dans les rôles possibles et conserve une attitude positive.
</t>
  </si>
  <si>
    <t>[Prénom] reste impliquée malgré les contraintes, mais pourrait encore gagner en régularité dans les rôles sociaux (observation, arbitrage…).</t>
  </si>
  <si>
    <t xml:space="preserve">[Prénom] reste investi et sérieux malgré les contraintes (dispense, blessure…). Il s’implique pleinement dans les rôles possibles et conserve une attitude positive.
</t>
  </si>
  <si>
    <t>[Prénom] reste impliqué malgré les contraintes, mais pourrait encore gagner en régularité dans les rôles sociaux (observation, arbitrage…).</t>
  </si>
  <si>
    <t>[Prénom] a les capacités pour progresser davantage, mais son manque d’implication en séance limite nettement son évolution. Elle doit s’engager plus régulièrement dans les tâches proposées.</t>
  </si>
  <si>
    <t>[Prénom] a les capacités pour progresser davantage, mais son manque d’implication en séance limite nettement son évolution. Il doit s’engager plus régulièrement dans les tâches proposées.</t>
  </si>
  <si>
    <t>[Prénom] a les capacités pour aller beaucoup plus loin, mais son manque d’implication en séance limite nettement sa progression. Elle doit s’engager plus sérieusement dans les tâches proposées.</t>
  </si>
  <si>
    <t>[Prénom] a les capacités pour aller beaucoup plus loin, mais son manque d’implication en séance limite nettement sa progression. Il doit s’engager plus sérieusement dans les tâches proposées.</t>
  </si>
  <si>
    <t>[Prénom] ne s’investit pas suffisamment et adopte trop souvent une attitude perturbatrice. Elle doit modifier son comportement et s’engager réellement dans les activités pour progresser.</t>
  </si>
  <si>
    <t>[Prénom] ne s’investit pas suffisamment et adopte trop souvent une attitude perturbatrice. Il doit modifier son comportement et s’engager réellement dans les activités pour progresser.</t>
  </si>
  <si>
    <t xml:space="preserve">[Prénom] s’implique davantage dans certaines activités que dans d’autres. Une participation plus homogène lui permettrait d’avancer de manière plus régulière en EPS.
</t>
  </si>
  <si>
    <t>[Prénom] manque de constance dans son investissement : elle travaille sérieusement dans certaines APSA mais se désengage dans d’autres. Elle doit adopter une attitude plus régulière pour progresser pleinement.</t>
  </si>
  <si>
    <t xml:space="preserve">[Prénom] s’investit pleinement dans certaines activités et révèle alors de réelles capacités. Il gagnerait à maintenir cet engagement dans l’ensemble des APSA afin de progresser plus régulièrement.
</t>
  </si>
  <si>
    <t>[Prénom] manque de constance dans son investissement : il travaille sérieusement dans certaines APSA mais se désengage dans d’autres. Il doit adopter une attitude plus régulière pour progresser pleinement.</t>
  </si>
  <si>
    <t>[Prénom] se contente trop souvent d’un investissement superficiel. Elle réalise ce qui est demandé, mais sans engagement réel, ce qui freine nettement sa progression. Elle doit s’impliquer davantage dans l’effort.</t>
  </si>
  <si>
    <t xml:space="preserve">[Prénom] réalise les tâches demandées avec sérieux, mais son implication reste limitée. Il gagnerait à s’engager davantage dans l’effort pour progresser plus régulièrement et exploiter pleinement ses capacités.
</t>
  </si>
  <si>
    <t xml:space="preserve">[Prénom] est présent et accomplit le travail demandé, mais sans réelle intensité ni volonté d’aller au-delà du minimum. Une implication plus franche serait nécessaire pour progresser en EPS.
</t>
  </si>
  <si>
    <t>[Prénom] se contente trop souvent d’un investissement superficiel. Il réalise ce qui est demandé, mais sans engagement réel, ce qui freine nettement sa progression. Il doit s’impliquer davantage dans l’effort.</t>
  </si>
  <si>
    <t>[Prénom] fait preuve d’un comportement irréprochable en EPS. Son sérieux et sa constance lui permettent d’obtenir des résultats satisfaisants tout au long de ce semestre.</t>
  </si>
  <si>
    <t xml:space="preserve">[Prénom] fait preuve d’un comportement irréprochable en EPS. Son sérieux et sa constance lui permettent d’obtenir des résultats satisfaisants tout au long de ce semestre.
</t>
  </si>
  <si>
    <t>Appréciations 1</t>
  </si>
  <si>
    <t>Appréciations 2</t>
  </si>
  <si>
    <t>Rang</t>
  </si>
  <si>
    <t>[Prénom] est très impliquée en EPS. Elle participe avec sérieux, autonomie et rigueur dans toutes les activités. Son engagement physique est constant et son attitude exemplaire tout au long de ce semestre.</t>
  </si>
  <si>
    <t>[Prénom] fait preuve d’un très bon investissement en EPS. Elle participe avec sérieux, autonomie et constance dans l’ensemble des activités. Son implication physique régulière ainsi que son attitude irréprochable sont à souligner tout au long de ce semestre.</t>
  </si>
  <si>
    <t>[Prénom] est motivée mais encore fragile. Elle doit poursuivre ses efforts pour consolider ses acquis et exécuter ses mouvements de manière plus stable et maîtrisée.</t>
  </si>
  <si>
    <t>[Prénom] est motivée mais demeure encore fragile. Elle doit poursuivre ses efforts afin de renforcer ses acquis et mieux coordonner ses gestes.</t>
  </si>
  <si>
    <t xml:space="preserve">[Prénom] est motivé mais encore fragile. Il doit poursuivre ses efforts pour consolider ses acquis et exécuter ses mouvements de manière plus stable et maîtrisée. </t>
  </si>
  <si>
    <t>[Prénom] est motivé mais demeure encore fragile. Il doit poursuivre ses efforts afin de renforcer ses acquis et mieux coordonner ses gestes.</t>
  </si>
  <si>
    <t>[Prénom] est discret et sérieux. Il réalise les tâches avec soin, mais gagnerait à s’affirmer davantage lors du travail en groupe.</t>
  </si>
  <si>
    <t>[Prénom] est discret et appliqué. Il réalise les tâches avec sérieux, mais gagnerait à prendre davantage sa place dans les moments collectifs.</t>
  </si>
  <si>
    <t>[Prénom] montre une attitude sérieuse et respectueuse en EPS. Ses résultats sont corrects et reflètent un investissement réel tout au long de ce semestre.</t>
  </si>
  <si>
    <t>[Prénom] est volontaire malgré les contraintes. Elle reste attentive et engagée dans les rôles d’observation, d’arbitrage et d’organisation.</t>
  </si>
  <si>
    <t xml:space="preserve">[Prénom] demeure volontaire malgré les contraintes. Elle reste attentive et engagée dans les rôles d’observation, d’arbitrage et d’organisation.
</t>
  </si>
  <si>
    <t xml:space="preserve">[Prénom] demeure volontaire malgré les contraintes. Il reste attentif et engagé dans les rôles d’observation, d’arbitrage et d’organisation.
</t>
  </si>
  <si>
    <t>[Prénom] est impliqué malgré les contraintes, mais pourrait encore gagner en régularité dans les rôles sociaux (observation, arbitrage …).</t>
  </si>
  <si>
    <t>[Prénom] possède de bonnes aptitudes et réussit lorsqu’il s’implique, mais son investissement manque de constance. Une participation plus régulière est attendue pour progresser davantage.</t>
  </si>
  <si>
    <t>[Prénom] dispose de réelles qualités en EPS et montre de très bonnes choses lorsqu’il s’investit. Il gagnerait à exploiter ce potentiel de manière plus régulière, car son engagement reste encore trop variable au fil des séances.</t>
  </si>
  <si>
    <t>[Prénom] dispose de réelles qualités en EPS et montre de très bonnes choses lorsqu’elle s’investit. Elle gagnerait à exploiter ce potentiel de manière plus régulière, car son engagement reste encore trop variable au fil des séances.</t>
  </si>
  <si>
    <t>[Prénom] possède de bonnes aptitudes et réussit lorsqu’elle s’implique, mais son investissement manque de constance. Une participation plus régulière est attendue pour progresser davantage.</t>
  </si>
  <si>
    <t>[Prénom] dispose de bonnes aptitudes et réussit lorsqu’il s’implique, mais son investissement en séance manque de constance. Une participation plus stable est attendue.</t>
  </si>
  <si>
    <t>[Prénom] possède un bon potentiel en EPS et montre de belles choses lorsqu’il s’investit réellement. Il gagnerait à mobiliser ce potentiel de manière plus régulière, car son engagement reste encore trop fluctuant.</t>
  </si>
  <si>
    <t>[Prénom] participe très peu aux activités et se laisse souvent distraire. Elle gagnerait à s’investir davantage et à adopter une attitude plus constructive pour progresser en EPS.</t>
  </si>
  <si>
    <t>[Prénom] s’implique peu en EPS et se montre régulièrement distraite. Une attitude plus sérieuse et un meilleur respect des consignes sont attendus pour avancer.</t>
  </si>
  <si>
    <t>[Prénom] participe très peu aux activités et se laisse souvent distraire. Il gagnerait à s’investir davantage et à adopter une attitude plus constructive pour progresser en EPS.</t>
  </si>
  <si>
    <t>[Prénom] s’investit pleinement dans certaines activités et révèle alors de réelles capacités. Elle gagnerait à maintenir cet engagement dans l’ensemble des APSA afin de progresser plus régulièrement.</t>
  </si>
  <si>
    <t>[Prénom] s’implique davantage dans certaines activités que dans d’autres. Une participation plus homogène lui permettrait d’avancer de manière plus régulière en EPS.</t>
  </si>
  <si>
    <t>[Prénom] participe aux activités et réalise les tâches demandées, mais reste trop passive. Ses fragilités motrices sont réelles et elle gagnerait à s’investir davantage pour progresser. Avec un peu plus d’énergie et d’engagement, elle pourrait franchir un cap.</t>
  </si>
  <si>
    <t>[Prénom] présente certaines fragilités et s’implique peu dans les activités. Elle effectue les exercices mais sans véritable engagement, ce qui limite ses progrès. Une participation plus active serait nécessaire.</t>
  </si>
  <si>
    <t>[Prénom] participe aux activités et réalise les tâches demandées, mais reste trop passif. Ses fragilités motrices sont réelles et il gagnerait à s’investir davantage pour progresser. Avec un peu plus d’énergie et d’engagement, il pourrait franchir un cap.</t>
  </si>
  <si>
    <t>[Prénom] présente certaines fragilités et s’implique peu dans les activités. Il effectue les exercices mais sans véritable engagement, ce qui limite ses progrès. Une participation plus active serait nécessaire.</t>
  </si>
  <si>
    <t>[Prénom] réalise les tâches demandées avec sérieux, mais son implication reste limitée. Elle gagnerait à s’engager davantage dans l’effort pour progresser plus régulièrement et exploiter pleinement ses capacités.</t>
  </si>
  <si>
    <t>[Prénom] est présente et accomplit le travail demandé, mais sans réelle intensité ni volonté d’aller au-delà du minimum. Une implication plus franche serait nécessaire pour progresser en EPS.</t>
  </si>
  <si>
    <t>Moyenne</t>
  </si>
  <si>
    <t>Féminin</t>
  </si>
  <si>
    <t>Masculin</t>
  </si>
  <si>
    <t>PROFIL</t>
  </si>
  <si>
    <t>N°Profil</t>
  </si>
  <si>
    <t>SEXE</t>
  </si>
  <si>
    <t>TONALITE</t>
  </si>
  <si>
    <t>Appréciation du premier semestre</t>
  </si>
  <si>
    <t>Pedro est autonome et appliqué. Il s’investit avec régularité dans les activités physiques et respecte les consignes. Son sérieux est apprécié.</t>
  </si>
  <si>
    <t>MACROS_ACTIVES</t>
  </si>
  <si>
    <t>Fichier créé par Florian Mignot</t>
  </si>
  <si>
    <t>ID PC</t>
  </si>
  <si>
    <t>Etat licence</t>
  </si>
  <si>
    <t>APT01</t>
  </si>
  <si>
    <t>[Prénom] est très impliqué en EPS. Il participe avec sérieux, autonomie et rigueur dans toutes les activités. Son engagement physique est constant et son attitude exemplaire tout au long de de ce semestre.</t>
  </si>
  <si>
    <t>[Prénom] fait preuve d’un très bon investissement en EPS. Il participe avec sérieux, autonomie et constance dans l’ensemble des activités. Son implication physique régulière ainsi que son attitude irréprochable sont à souligner tout au long de ce semestre.</t>
  </si>
  <si>
    <t>[Prénom] possède un bon potentiel en EPS et montre de belles choses lorsqu’elle s’investit réellement. Elle gagnerait à mobiliser ce potentiel de manière plus régulière, car son engagement reste encore trop fluctuant.</t>
  </si>
  <si>
    <t>[Prénom] dispose de bonnes aptitudes et réussit lorsqu’elle s’implique, mais son investissement en séance manque de constance. Une participation plus stable est attendue.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</si>
</sst>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11"/>
      <color theme="0"/>
      <name val="Calibri"/>
      <family val="2"/>
      <scheme val="minor"/>
    </font>
    <font>
      <sz val="11"/>
      <color rgb="FF00B0F0"/>
      <name val="Calibri"/>
      <family val="2"/>
      <scheme val="minor"/>
    </font>
    <font>
      <i/>
      <sz val="8"/>
      <color theme="1"/>
      <name val="Calibri"/>
      <family val="2"/>
      <scheme val="minor"/>
    </font>
  </fonts>
  <fills count="3">
    <fill>
      <patternFill patternType="none"/>
    </fill>
    <fill>
      <patternFill patternType="gray125"/>
    </fill>
    <fill>
      <patternFill patternType="solid">
        <fgColor rgb="FF00B0F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88">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applyAlignment="1">
      <alignment horizontal="left" vertical="center" wrapText="1"/>
    </xf>
    <xf numFmtId="0" fontId="1" fillId="2" borderId="0" xfId="0" applyFont="1" applyFill="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28" xfId="0" applyFont="1" applyBorder="1" applyAlignment="1">
      <alignment horizontal="left" vertical="center" wrapText="1"/>
    </xf>
    <xf numFmtId="0" fontId="1" fillId="0" borderId="29" xfId="0" applyFont="1" applyBorder="1" applyAlignment="1">
      <alignment horizontal="center" vertical="center" wrapText="1"/>
    </xf>
    <xf numFmtId="0" fontId="2" fillId="0" borderId="1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15" xfId="0" applyFont="1" applyBorder="1" applyAlignment="1" applyProtection="1">
      <alignment horizontal="left" vertical="center"/>
      <protection locked="0"/>
    </xf>
    <xf numFmtId="0" fontId="2" fillId="0" borderId="13" xfId="0" applyFont="1" applyBorder="1" applyAlignment="1" applyProtection="1">
      <alignment horizontal="center" vertical="center"/>
      <protection locked="0"/>
    </xf>
    <xf numFmtId="0" fontId="2" fillId="0" borderId="23" xfId="0" applyFont="1" applyBorder="1" applyAlignment="1" applyProtection="1">
      <alignment horizontal="center" vertical="center"/>
      <protection locked="0"/>
    </xf>
    <xf numFmtId="0" fontId="2" fillId="0" borderId="16" xfId="0" applyFont="1" applyBorder="1" applyAlignment="1" applyProtection="1">
      <alignment horizontal="left" vertical="center"/>
      <protection locked="0"/>
    </xf>
    <xf numFmtId="0" fontId="2" fillId="0" borderId="14"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7" xfId="0" applyFont="1" applyBorder="1" applyAlignment="1" applyProtection="1">
      <alignment horizontal="left" vertical="center"/>
      <protection locked="0"/>
    </xf>
    <xf numFmtId="0" fontId="2" fillId="0" borderId="12" xfId="0" applyFont="1" applyBorder="1" applyAlignment="1" applyProtection="1">
      <alignment horizontal="left" vertical="center" wrapText="1"/>
      <protection locked="0"/>
    </xf>
    <xf numFmtId="0" fontId="2" fillId="0" borderId="13" xfId="0" applyFont="1" applyBorder="1" applyAlignment="1" applyProtection="1">
      <alignment horizontal="left" vertical="center" wrapText="1"/>
      <protection locked="0"/>
    </xf>
    <xf numFmtId="0" fontId="2" fillId="0" borderId="14" xfId="0" applyFont="1" applyBorder="1" applyAlignment="1" applyProtection="1">
      <alignment horizontal="left" vertical="center" wrapText="1"/>
      <protection locked="0"/>
    </xf>
    <xf numFmtId="0" fontId="2" fillId="0" borderId="15" xfId="0" applyFont="1" applyBorder="1" applyAlignment="1" applyProtection="1">
      <alignment horizontal="center" vertical="center"/>
      <protection locked="0"/>
    </xf>
    <xf numFmtId="0" fontId="2" fillId="0" borderId="16"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5" fillId="2" borderId="0" xfId="0" applyFont="1" applyFill="1" applyProtection="1">
      <protection hidden="1"/>
    </xf>
    <xf numFmtId="0" fontId="0" fillId="2" borderId="0" xfId="0" applyFill="1" applyProtection="1">
      <protection hidden="1"/>
    </xf>
    <xf numFmtId="0" fontId="6" fillId="2" borderId="0" xfId="0" applyFont="1" applyFill="1" applyProtection="1">
      <protection hidden="1"/>
    </xf>
    <xf numFmtId="14" fontId="0" fillId="2" borderId="0" xfId="0" applyNumberFormat="1" applyFill="1" applyProtection="1">
      <protection hidden="1"/>
    </xf>
    <xf numFmtId="0" fontId="0" fillId="2" borderId="0" xfId="0" applyFill="1" applyAlignment="1" applyProtection="1">
      <alignment horizontal="right" vertical="center"/>
      <protection hidden="1"/>
    </xf>
    <xf numFmtId="14" fontId="0" fillId="2" borderId="0" xfId="0" applyNumberFormat="1" applyFill="1" applyAlignment="1" applyProtection="1">
      <alignment horizontal="left" vertical="center"/>
      <protection hidden="1"/>
    </xf>
    <xf numFmtId="0" fontId="0" fillId="0" borderId="0" xfId="0" applyProtection="1">
      <protection hidden="1"/>
    </xf>
    <xf numFmtId="14" fontId="0" fillId="0" borderId="0" xfId="0" applyNumberFormat="1" applyProtection="1">
      <protection hidden="1"/>
    </xf>
    <xf numFmtId="0" fontId="4" fillId="0" borderId="0" xfId="0" applyFont="1" applyProtection="1">
      <protection hidden="1"/>
    </xf>
    <xf numFmtId="0" fontId="1" fillId="0" borderId="29" xfId="0" applyFont="1" applyBorder="1" applyAlignment="1">
      <alignment horizontal="center" vertical="center"/>
    </xf>
    <xf numFmtId="0" fontId="1" fillId="0" borderId="25"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26" xfId="0" applyFont="1" applyBorder="1" applyAlignment="1">
      <alignment horizontal="center" vertical="center" wrapText="1"/>
    </xf>
    <xf numFmtId="0" fontId="0" fillId="0" borderId="20" xfId="0"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2" xfId="0" applyBorder="1" applyAlignment="1">
      <alignment horizontal="left" vertical="center" wrapText="1"/>
    </xf>
    <xf numFmtId="0" fontId="0" fillId="0" borderId="21" xfId="0" applyBorder="1" applyAlignment="1">
      <alignment horizontal="center" vertical="center"/>
    </xf>
    <xf numFmtId="0" fontId="0" fillId="0" borderId="5"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3" xfId="0" applyBorder="1" applyAlignment="1">
      <alignment horizontal="left" vertical="center" wrapText="1"/>
    </xf>
    <xf numFmtId="0" fontId="0" fillId="0" borderId="22" xfId="0" applyBorder="1" applyAlignment="1">
      <alignment horizontal="center" vertical="center"/>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4" xfId="0" applyBorder="1" applyAlignment="1">
      <alignment horizontal="left" vertical="center" wrapText="1"/>
    </xf>
    <xf numFmtId="0" fontId="3" fillId="0" borderId="27"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0" fillId="2" borderId="0" xfId="0" applyFill="1" applyAlignment="1">
      <alignment horizontal="left" vertical="center"/>
    </xf>
    <xf numFmtId="0" fontId="0" fillId="2" borderId="0" xfId="0" applyFill="1" applyAlignment="1">
      <alignment wrapText="1"/>
    </xf>
    <xf numFmtId="0" fontId="1" fillId="0" borderId="26" xfId="0" applyFont="1" applyBorder="1" applyAlignment="1">
      <alignment horizontal="center" vertical="center"/>
    </xf>
    <xf numFmtId="0" fontId="1" fillId="2" borderId="0" xfId="0" applyFont="1" applyFill="1" applyAlignment="1">
      <alignment horizontal="center" vertical="center"/>
    </xf>
    <xf numFmtId="0" fontId="3" fillId="0" borderId="27" xfId="0" applyFont="1" applyBorder="1" applyAlignment="1">
      <alignment horizontal="center" vertical="center"/>
    </xf>
    <xf numFmtId="0" fontId="3" fillId="0" borderId="29" xfId="0" applyFont="1" applyBorder="1" applyAlignment="1">
      <alignment horizontal="center" vertical="center"/>
    </xf>
    <xf numFmtId="0" fontId="3" fillId="0" borderId="19" xfId="0" applyFont="1" applyBorder="1" applyAlignment="1">
      <alignment horizontal="center" vertical="center"/>
    </xf>
    <xf numFmtId="0" fontId="3" fillId="0" borderId="31" xfId="0" applyFont="1" applyBorder="1" applyAlignment="1">
      <alignment horizontal="center" vertical="center"/>
    </xf>
    <xf numFmtId="0" fontId="3" fillId="2" borderId="30" xfId="0" applyFont="1" applyFill="1" applyBorder="1" applyAlignment="1">
      <alignment horizontal="center" vertical="center"/>
    </xf>
    <xf numFmtId="0" fontId="3" fillId="0" borderId="26" xfId="0" applyFont="1" applyBorder="1" applyAlignment="1">
      <alignment horizontal="center" vertical="center"/>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4" xfId="0" applyFont="1" applyFill="1" applyBorder="1" applyAlignment="1">
      <alignment horizontal="left" vertical="center" wrapText="1"/>
    </xf>
    <xf numFmtId="0" fontId="2" fillId="2" borderId="0" xfId="0" applyFont="1" applyFill="1"/>
    <xf numFmtId="0" fontId="2" fillId="2" borderId="0" xfId="0" applyFont="1" applyFill="1" applyAlignment="1">
      <alignment horizontal="center" vertical="center"/>
    </xf>
    <xf numFmtId="0" fontId="2" fillId="2" borderId="0" xfId="0" applyFont="1" applyFill="1" applyAlignment="1">
      <alignment horizontal="left" vertical="center"/>
    </xf>
    <xf numFmtId="0" fontId="3" fillId="2" borderId="3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36" xfId="0" applyFont="1" applyBorder="1" applyAlignment="1" applyProtection="1">
      <alignment horizontal="left" vertical="center"/>
      <protection locked="0"/>
    </xf>
    <xf numFmtId="0" fontId="3" fillId="2" borderId="29" xfId="0" applyFont="1" applyFill="1" applyBorder="1" applyAlignment="1">
      <alignment horizontal="center" vertical="center"/>
    </xf>
    <xf numFmtId="0" fontId="3" fillId="2" borderId="37" xfId="0" applyFont="1" applyFill="1" applyBorder="1" applyAlignment="1">
      <alignment horizontal="center" vertical="center"/>
    </xf>
    <xf numFmtId="0" fontId="2" fillId="2" borderId="34" xfId="0" applyFont="1" applyFill="1" applyBorder="1" applyAlignment="1">
      <alignment horizontal="left" vertical="center" wrapText="1"/>
    </xf>
    <xf numFmtId="0" fontId="2" fillId="2" borderId="35"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752476</xdr:colOff>
      <xdr:row>0</xdr:row>
      <xdr:rowOff>180975</xdr:rowOff>
    </xdr:from>
    <xdr:to>
      <xdr:col>12</xdr:col>
      <xdr:colOff>733426</xdr:colOff>
      <xdr:row>13</xdr:row>
      <xdr:rowOff>171450</xdr:rowOff>
    </xdr:to>
    <xdr:sp macro="" textlink="">
      <xdr:nvSpPr>
        <xdr:cNvPr id="2" name="Rectangle 1">
          <a:extLst>
            <a:ext uri="{FF2B5EF4-FFF2-40B4-BE49-F238E27FC236}">
              <a16:creationId xmlns:a16="http://schemas.microsoft.com/office/drawing/2014/main" id="{DF7F4A19-2533-4185-ABF8-531880438356}"/>
            </a:ext>
          </a:extLst>
        </xdr:cNvPr>
        <xdr:cNvSpPr/>
      </xdr:nvSpPr>
      <xdr:spPr>
        <a:xfrm>
          <a:off x="2276476" y="180975"/>
          <a:ext cx="8096250" cy="2466975"/>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rgbClr val="FFFF00"/>
              </a:solidFill>
            </a:rPr>
            <a:t>Veuillez activer les macros pour utiliser</a:t>
          </a:r>
          <a:r>
            <a:rPr lang="fr-FR" sz="2800" baseline="0">
              <a:solidFill>
                <a:srgbClr val="FFFF00"/>
              </a:solidFill>
            </a:rPr>
            <a:t> ce fichier !</a:t>
          </a:r>
          <a:endParaRPr lang="fr-FR" sz="2800">
            <a:solidFill>
              <a:srgbClr val="FFFF00"/>
            </a:solidFill>
          </a:endParaRPr>
        </a:p>
      </xdr:txBody>
    </xdr:sp>
    <xdr:clientData/>
  </xdr:twoCellAnchor>
  <xdr:twoCellAnchor>
    <xdr:from>
      <xdr:col>7</xdr:col>
      <xdr:colOff>38100</xdr:colOff>
      <xdr:row>14</xdr:row>
      <xdr:rowOff>9525</xdr:rowOff>
    </xdr:from>
    <xdr:to>
      <xdr:col>9</xdr:col>
      <xdr:colOff>133350</xdr:colOff>
      <xdr:row>16</xdr:row>
      <xdr:rowOff>123825</xdr:rowOff>
    </xdr:to>
    <xdr:sp macro="[0]!ActiverFichier" textlink="">
      <xdr:nvSpPr>
        <xdr:cNvPr id="3" name="btnDemarrer">
          <a:extLst>
            <a:ext uri="{FF2B5EF4-FFF2-40B4-BE49-F238E27FC236}">
              <a16:creationId xmlns:a16="http://schemas.microsoft.com/office/drawing/2014/main" id="{833D0125-0716-4494-94CB-204D049CB59E}"/>
            </a:ext>
          </a:extLst>
        </xdr:cNvPr>
        <xdr:cNvSpPr/>
      </xdr:nvSpPr>
      <xdr:spPr>
        <a:xfrm>
          <a:off x="5372100" y="2676525"/>
          <a:ext cx="161925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DEMARRER</a:t>
          </a:r>
        </a:p>
      </xdr:txBody>
    </xdr:sp>
    <xdr:clientData/>
  </xdr:twoCellAnchor>
  <xdr:twoCellAnchor editAs="oneCell">
    <xdr:from>
      <xdr:col>0</xdr:col>
      <xdr:colOff>161925</xdr:colOff>
      <xdr:row>2</xdr:row>
      <xdr:rowOff>85725</xdr:rowOff>
    </xdr:from>
    <xdr:to>
      <xdr:col>2</xdr:col>
      <xdr:colOff>685063</xdr:colOff>
      <xdr:row>12</xdr:row>
      <xdr:rowOff>175373</xdr:rowOff>
    </xdr:to>
    <xdr:pic>
      <xdr:nvPicPr>
        <xdr:cNvPr id="4" name="Image 3">
          <a:extLst>
            <a:ext uri="{FF2B5EF4-FFF2-40B4-BE49-F238E27FC236}">
              <a16:creationId xmlns:a16="http://schemas.microsoft.com/office/drawing/2014/main" id="{0D11973B-8DD2-4474-B93E-60379A5AE3C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61925" y="466725"/>
          <a:ext cx="2047138" cy="1994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746577</xdr:colOff>
      <xdr:row>6</xdr:row>
      <xdr:rowOff>34472</xdr:rowOff>
    </xdr:from>
    <xdr:to>
      <xdr:col>2</xdr:col>
      <xdr:colOff>738777</xdr:colOff>
      <xdr:row>9</xdr:row>
      <xdr:rowOff>182972</xdr:rowOff>
    </xdr:to>
    <xdr:sp macro="[0]!AllerVersFeuilles1erSemestre" textlink="">
      <xdr:nvSpPr>
        <xdr:cNvPr id="2" name="Rectangle : coins arrondis 1">
          <a:extLst>
            <a:ext uri="{FF2B5EF4-FFF2-40B4-BE49-F238E27FC236}">
              <a16:creationId xmlns:a16="http://schemas.microsoft.com/office/drawing/2014/main" id="{BB5A4026-71B7-48FF-8023-35D94658AA11}"/>
            </a:ext>
          </a:extLst>
        </xdr:cNvPr>
        <xdr:cNvSpPr/>
      </xdr:nvSpPr>
      <xdr:spPr>
        <a:xfrm>
          <a:off x="7465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1er</a:t>
          </a:r>
          <a:r>
            <a:rPr lang="fr-FR" sz="1050" baseline="0">
              <a:solidFill>
                <a:schemeClr val="tx1"/>
              </a:solidFill>
            </a:rPr>
            <a:t> semestre</a:t>
          </a:r>
          <a:endParaRPr lang="fr-FR" sz="1050">
            <a:solidFill>
              <a:schemeClr val="tx1"/>
            </a:solidFill>
          </a:endParaRPr>
        </a:p>
      </xdr:txBody>
    </xdr:sp>
    <xdr:clientData/>
  </xdr:twoCellAnchor>
  <xdr:twoCellAnchor>
    <xdr:from>
      <xdr:col>1</xdr:col>
      <xdr:colOff>3174</xdr:colOff>
      <xdr:row>1</xdr:row>
      <xdr:rowOff>15875</xdr:rowOff>
    </xdr:from>
    <xdr:to>
      <xdr:col>6</xdr:col>
      <xdr:colOff>679449</xdr:colOff>
      <xdr:row>6</xdr:row>
      <xdr:rowOff>9525</xdr:rowOff>
    </xdr:to>
    <xdr:sp macro="" textlink="">
      <xdr:nvSpPr>
        <xdr:cNvPr id="3" name="ZoneTexte 2">
          <a:extLst>
            <a:ext uri="{FF2B5EF4-FFF2-40B4-BE49-F238E27FC236}">
              <a16:creationId xmlns:a16="http://schemas.microsoft.com/office/drawing/2014/main" id="{D8A022D6-911D-44C2-B756-A18E102BCA96}"/>
            </a:ext>
          </a:extLst>
        </xdr:cNvPr>
        <xdr:cNvSpPr txBox="1"/>
      </xdr:nvSpPr>
      <xdr:spPr>
        <a:xfrm>
          <a:off x="927099" y="206375"/>
          <a:ext cx="4295775" cy="946150"/>
        </a:xfrm>
        <a:prstGeom prst="rect">
          <a:avLst/>
        </a:prstGeom>
        <a:gradFill flip="none" rotWithShape="1">
          <a:gsLst>
            <a:gs pos="0">
              <a:schemeClr val="accent5">
                <a:lumMod val="60000"/>
                <a:lumOff val="40000"/>
                <a:shade val="30000"/>
                <a:satMod val="115000"/>
              </a:schemeClr>
            </a:gs>
            <a:gs pos="50000">
              <a:schemeClr val="accent5">
                <a:lumMod val="60000"/>
                <a:lumOff val="40000"/>
                <a:shade val="67500"/>
                <a:satMod val="115000"/>
              </a:schemeClr>
            </a:gs>
            <a:gs pos="100000">
              <a:schemeClr val="accent5">
                <a:lumMod val="60000"/>
                <a:lumOff val="40000"/>
                <a:shade val="100000"/>
                <a:satMod val="115000"/>
              </a:schemeClr>
            </a:gs>
          </a:gsLst>
          <a:path path="circle">
            <a:fillToRect l="50000" t="50000" r="50000" b="50000"/>
          </a:path>
          <a:tileRect/>
        </a:gra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cap="none" spc="0">
              <a:ln w="0"/>
              <a:solidFill>
                <a:schemeClr val="tx1"/>
              </a:solidFill>
              <a:effectLst>
                <a:outerShdw blurRad="38100" dist="19050" dir="2700000" algn="tl" rotWithShape="0">
                  <a:schemeClr val="dk1">
                    <a:alpha val="40000"/>
                  </a:schemeClr>
                </a:outerShdw>
              </a:effectLst>
            </a:rPr>
            <a:t>GENERATEUR </a:t>
          </a:r>
        </a:p>
        <a:p>
          <a:pPr algn="ctr"/>
          <a:r>
            <a:rPr lang="fr-FR" sz="1100" b="0" cap="none" spc="0">
              <a:ln w="0"/>
              <a:solidFill>
                <a:schemeClr val="tx1"/>
              </a:solidFill>
              <a:effectLst>
                <a:outerShdw blurRad="38100" dist="19050" dir="2700000" algn="tl" rotWithShape="0">
                  <a:schemeClr val="dk1">
                    <a:alpha val="40000"/>
                  </a:schemeClr>
                </a:outerShdw>
              </a:effectLst>
            </a:rPr>
            <a:t>D'APPRECIATIONS</a:t>
          </a:r>
          <a:r>
            <a:rPr lang="fr-FR" sz="1100" b="0" cap="none" spc="0" baseline="0">
              <a:ln w="0"/>
              <a:solidFill>
                <a:schemeClr val="tx1"/>
              </a:solidFill>
              <a:effectLst>
                <a:outerShdw blurRad="38100" dist="19050" dir="2700000" algn="tl" rotWithShape="0">
                  <a:schemeClr val="dk1">
                    <a:alpha val="40000"/>
                  </a:schemeClr>
                </a:outerShdw>
              </a:effectLst>
            </a:rPr>
            <a:t> EPS</a:t>
          </a:r>
          <a:endParaRPr lang="fr-F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708477</xdr:colOff>
      <xdr:row>6</xdr:row>
      <xdr:rowOff>34472</xdr:rowOff>
    </xdr:from>
    <xdr:to>
      <xdr:col>6</xdr:col>
      <xdr:colOff>700677</xdr:colOff>
      <xdr:row>9</xdr:row>
      <xdr:rowOff>182972</xdr:rowOff>
    </xdr:to>
    <xdr:sp macro="[0]!AllerVersFeuilles2eSemestre" textlink="">
      <xdr:nvSpPr>
        <xdr:cNvPr id="4" name="Rectangle : coins arrondis 3">
          <a:extLst>
            <a:ext uri="{FF2B5EF4-FFF2-40B4-BE49-F238E27FC236}">
              <a16:creationId xmlns:a16="http://schemas.microsoft.com/office/drawing/2014/main" id="{D7CD27F0-13FB-4C64-B737-C51B9C9CBCE5}"/>
            </a:ext>
          </a:extLst>
        </xdr:cNvPr>
        <xdr:cNvSpPr/>
      </xdr:nvSpPr>
      <xdr:spPr>
        <a:xfrm>
          <a:off x="3756477" y="1177472"/>
          <a:ext cx="1516200" cy="720000"/>
        </a:xfrm>
        <a:prstGeom prst="roundRect">
          <a:avLst/>
        </a:prstGeom>
        <a:solidFill>
          <a:schemeClr val="bg1">
            <a:lumMod val="65000"/>
          </a:schemeClr>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50">
              <a:solidFill>
                <a:schemeClr val="tx1"/>
              </a:solidFill>
            </a:rPr>
            <a:t>2e</a:t>
          </a:r>
          <a:r>
            <a:rPr lang="fr-FR" sz="1050" baseline="0">
              <a:solidFill>
                <a:schemeClr val="tx1"/>
              </a:solidFill>
            </a:rPr>
            <a:t> semestre</a:t>
          </a:r>
          <a:endParaRPr lang="fr-FR" sz="1050">
            <a:solidFill>
              <a:schemeClr val="tx1"/>
            </a:solidFill>
          </a:endParaRPr>
        </a:p>
      </xdr:txBody>
    </xdr:sp>
    <xdr:clientData/>
  </xdr:twoCellAnchor>
  <xdr:twoCellAnchor editAs="oneCell">
    <xdr:from>
      <xdr:col>3</xdr:col>
      <xdr:colOff>242637</xdr:colOff>
      <xdr:row>6</xdr:row>
      <xdr:rowOff>9525</xdr:rowOff>
    </xdr:from>
    <xdr:to>
      <xdr:col>4</xdr:col>
      <xdr:colOff>276225</xdr:colOff>
      <xdr:row>10</xdr:row>
      <xdr:rowOff>22714</xdr:rowOff>
    </xdr:to>
    <xdr:pic>
      <xdr:nvPicPr>
        <xdr:cNvPr id="5" name="Image 4">
          <a:extLst>
            <a:ext uri="{FF2B5EF4-FFF2-40B4-BE49-F238E27FC236}">
              <a16:creationId xmlns:a16="http://schemas.microsoft.com/office/drawing/2014/main" id="{F0D63569-DEC7-4699-A500-62334DECB01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2528637" y="1152525"/>
          <a:ext cx="795588" cy="7751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313764</xdr:colOff>
      <xdr:row>18</xdr:row>
      <xdr:rowOff>112059</xdr:rowOff>
    </xdr:from>
    <xdr:to>
      <xdr:col>2</xdr:col>
      <xdr:colOff>1748117</xdr:colOff>
      <xdr:row>27</xdr:row>
      <xdr:rowOff>133610</xdr:rowOff>
    </xdr:to>
    <xdr:pic>
      <xdr:nvPicPr>
        <xdr:cNvPr id="2" name="Image 1">
          <a:extLst>
            <a:ext uri="{FF2B5EF4-FFF2-40B4-BE49-F238E27FC236}">
              <a16:creationId xmlns:a16="http://schemas.microsoft.com/office/drawing/2014/main" id="{28C87520-BC97-4C1A-9189-809485C1C65F}"/>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1075764" y="3574677"/>
          <a:ext cx="1781735" cy="1736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1298863</xdr:colOff>
      <xdr:row>0</xdr:row>
      <xdr:rowOff>242454</xdr:rowOff>
    </xdr:from>
    <xdr:to>
      <xdr:col>11</xdr:col>
      <xdr:colOff>4606636</xdr:colOff>
      <xdr:row>0</xdr:row>
      <xdr:rowOff>1073727</xdr:rowOff>
    </xdr:to>
    <xdr:sp macro="[0]!Feuil3.CopierCollerAppréciationsS1" textlink="">
      <xdr:nvSpPr>
        <xdr:cNvPr id="2" name="Rectangle : coins arrondis 1">
          <a:extLst>
            <a:ext uri="{FF2B5EF4-FFF2-40B4-BE49-F238E27FC236}">
              <a16:creationId xmlns:a16="http://schemas.microsoft.com/office/drawing/2014/main" id="{380A4D1C-2407-D480-40C1-CB13EA96B61F}"/>
            </a:ext>
          </a:extLst>
        </xdr:cNvPr>
        <xdr:cNvSpPr/>
      </xdr:nvSpPr>
      <xdr:spPr>
        <a:xfrm>
          <a:off x="18842181"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1</xdr:col>
      <xdr:colOff>51229</xdr:colOff>
      <xdr:row>0</xdr:row>
      <xdr:rowOff>135780</xdr:rowOff>
    </xdr:from>
    <xdr:to>
      <xdr:col>1</xdr:col>
      <xdr:colOff>2653393</xdr:colOff>
      <xdr:row>0</xdr:row>
      <xdr:rowOff>1061357</xdr:rowOff>
    </xdr:to>
    <xdr:sp macro="[0]!ChargerAppreciations" textlink="">
      <xdr:nvSpPr>
        <xdr:cNvPr id="3" name="Rectangle 2">
          <a:extLst>
            <a:ext uri="{FF2B5EF4-FFF2-40B4-BE49-F238E27FC236}">
              <a16:creationId xmlns:a16="http://schemas.microsoft.com/office/drawing/2014/main" id="{14694722-F338-1203-0F06-E3E9E57C98C1}"/>
            </a:ext>
          </a:extLst>
        </xdr:cNvPr>
        <xdr:cNvSpPr/>
      </xdr:nvSpPr>
      <xdr:spPr>
        <a:xfrm>
          <a:off x="813229" y="13578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3</xdr:col>
      <xdr:colOff>557413</xdr:colOff>
      <xdr:row>0</xdr:row>
      <xdr:rowOff>136071</xdr:rowOff>
    </xdr:from>
    <xdr:to>
      <xdr:col>10</xdr:col>
      <xdr:colOff>2000249</xdr:colOff>
      <xdr:row>0</xdr:row>
      <xdr:rowOff>1104900</xdr:rowOff>
    </xdr:to>
    <xdr:sp macro="[0]!CopierAppreciationSuivante" textlink="">
      <xdr:nvSpPr>
        <xdr:cNvPr id="5" name="Rectangle 4">
          <a:extLst>
            <a:ext uri="{FF2B5EF4-FFF2-40B4-BE49-F238E27FC236}">
              <a16:creationId xmlns:a16="http://schemas.microsoft.com/office/drawing/2014/main" id="{2E23F1D1-2235-4E1F-8BAD-ACC48F624942}"/>
            </a:ext>
          </a:extLst>
        </xdr:cNvPr>
        <xdr:cNvSpPr/>
      </xdr:nvSpPr>
      <xdr:spPr>
        <a:xfrm>
          <a:off x="5183842" y="13607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1</xdr:col>
      <xdr:colOff>2835566</xdr:colOff>
      <xdr:row>0</xdr:row>
      <xdr:rowOff>23812</xdr:rowOff>
    </xdr:from>
    <xdr:to>
      <xdr:col>3</xdr:col>
      <xdr:colOff>214311</xdr:colOff>
      <xdr:row>0</xdr:row>
      <xdr:rowOff>1228482</xdr:rowOff>
    </xdr:to>
    <xdr:pic>
      <xdr:nvPicPr>
        <xdr:cNvPr id="4" name="Image 3">
          <a:extLst>
            <a:ext uri="{FF2B5EF4-FFF2-40B4-BE49-F238E27FC236}">
              <a16:creationId xmlns:a16="http://schemas.microsoft.com/office/drawing/2014/main" id="{DD086556-0B33-4C5E-B7E8-7FE8FB62917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3597566" y="23812"/>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658091</xdr:colOff>
      <xdr:row>0</xdr:row>
      <xdr:rowOff>242454</xdr:rowOff>
    </xdr:from>
    <xdr:to>
      <xdr:col>12</xdr:col>
      <xdr:colOff>3965864</xdr:colOff>
      <xdr:row>0</xdr:row>
      <xdr:rowOff>1073727</xdr:rowOff>
    </xdr:to>
    <xdr:sp macro="[0]!Feuil4.CopierCollerAppréciationsS2" textlink="">
      <xdr:nvSpPr>
        <xdr:cNvPr id="2" name="Rectangle : coins arrondis 1">
          <a:extLst>
            <a:ext uri="{FF2B5EF4-FFF2-40B4-BE49-F238E27FC236}">
              <a16:creationId xmlns:a16="http://schemas.microsoft.com/office/drawing/2014/main" id="{42BAA017-1FA7-4A8A-8065-DB2CBA27DC2C}"/>
            </a:ext>
          </a:extLst>
        </xdr:cNvPr>
        <xdr:cNvSpPr/>
      </xdr:nvSpPr>
      <xdr:spPr>
        <a:xfrm>
          <a:off x="24695727" y="242454"/>
          <a:ext cx="3307773" cy="831273"/>
        </a:xfrm>
        <a:prstGeom prst="roundRect">
          <a:avLst/>
        </a:prstGeom>
        <a:solidFill>
          <a:srgbClr val="00B050"/>
        </a:solidFill>
        <a:ln>
          <a:solidFill>
            <a:srgbClr val="00B05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COPIER - COLLER APPRECIATIONS</a:t>
          </a:r>
        </a:p>
      </xdr:txBody>
    </xdr:sp>
    <xdr:clientData/>
  </xdr:twoCellAnchor>
  <xdr:twoCellAnchor>
    <xdr:from>
      <xdr:col>4</xdr:col>
      <xdr:colOff>595312</xdr:colOff>
      <xdr:row>0</xdr:row>
      <xdr:rowOff>190500</xdr:rowOff>
    </xdr:from>
    <xdr:to>
      <xdr:col>4</xdr:col>
      <xdr:colOff>3197476</xdr:colOff>
      <xdr:row>0</xdr:row>
      <xdr:rowOff>1116077</xdr:rowOff>
    </xdr:to>
    <xdr:sp macro="[0]!ChargerAppreciations2" textlink="">
      <xdr:nvSpPr>
        <xdr:cNvPr id="3" name="Rectangle 2">
          <a:extLst>
            <a:ext uri="{FF2B5EF4-FFF2-40B4-BE49-F238E27FC236}">
              <a16:creationId xmlns:a16="http://schemas.microsoft.com/office/drawing/2014/main" id="{84DA7B1E-3785-4B7D-8E76-E5D9DCF5AE32}"/>
            </a:ext>
          </a:extLst>
        </xdr:cNvPr>
        <xdr:cNvSpPr/>
      </xdr:nvSpPr>
      <xdr:spPr>
        <a:xfrm>
          <a:off x="5976937" y="190500"/>
          <a:ext cx="2602164" cy="925577"/>
        </a:xfrm>
        <a:prstGeom prst="rect">
          <a:avLst/>
        </a:prstGeom>
        <a:solidFill>
          <a:srgbClr val="0070C0"/>
        </a:solidFill>
        <a:ln>
          <a:solidFill>
            <a:srgbClr val="0070C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t>CHARGER APPRECIATIONS</a:t>
          </a:r>
        </a:p>
      </xdr:txBody>
    </xdr:sp>
    <xdr:clientData/>
  </xdr:twoCellAnchor>
  <xdr:twoCellAnchor>
    <xdr:from>
      <xdr:col>4</xdr:col>
      <xdr:colOff>4965925</xdr:colOff>
      <xdr:row>0</xdr:row>
      <xdr:rowOff>190791</xdr:rowOff>
    </xdr:from>
    <xdr:to>
      <xdr:col>11</xdr:col>
      <xdr:colOff>806019</xdr:colOff>
      <xdr:row>0</xdr:row>
      <xdr:rowOff>1159620</xdr:rowOff>
    </xdr:to>
    <xdr:sp macro="[0]!CopierAppreciationSuivante2" textlink="">
      <xdr:nvSpPr>
        <xdr:cNvPr id="4" name="Rectangle 3">
          <a:extLst>
            <a:ext uri="{FF2B5EF4-FFF2-40B4-BE49-F238E27FC236}">
              <a16:creationId xmlns:a16="http://schemas.microsoft.com/office/drawing/2014/main" id="{BA1F6667-EB71-4496-8CBD-44EA49E5D19B}"/>
            </a:ext>
          </a:extLst>
        </xdr:cNvPr>
        <xdr:cNvSpPr/>
      </xdr:nvSpPr>
      <xdr:spPr>
        <a:xfrm>
          <a:off x="10347550" y="190791"/>
          <a:ext cx="9484657" cy="968829"/>
        </a:xfrm>
        <a:prstGeom prst="rect">
          <a:avLst/>
        </a:prstGeom>
        <a:solidFill>
          <a:srgbClr val="FFC000"/>
        </a:solidFill>
        <a:ln>
          <a:solidFill>
            <a:srgbClr val="FFC000"/>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800">
              <a:solidFill>
                <a:srgbClr val="FF0000"/>
              </a:solidFill>
            </a:rPr>
            <a:t>COPIER SUIVANTES</a:t>
          </a:r>
        </a:p>
      </xdr:txBody>
    </xdr:sp>
    <xdr:clientData/>
  </xdr:twoCellAnchor>
  <xdr:twoCellAnchor editAs="oneCell">
    <xdr:from>
      <xdr:col>4</xdr:col>
      <xdr:colOff>3429000</xdr:colOff>
      <xdr:row>0</xdr:row>
      <xdr:rowOff>0</xdr:rowOff>
    </xdr:from>
    <xdr:to>
      <xdr:col>4</xdr:col>
      <xdr:colOff>4665370</xdr:colOff>
      <xdr:row>0</xdr:row>
      <xdr:rowOff>1204670</xdr:rowOff>
    </xdr:to>
    <xdr:pic>
      <xdr:nvPicPr>
        <xdr:cNvPr id="5" name="Image 4">
          <a:extLst>
            <a:ext uri="{FF2B5EF4-FFF2-40B4-BE49-F238E27FC236}">
              <a16:creationId xmlns:a16="http://schemas.microsoft.com/office/drawing/2014/main" id="{93AB441D-8C68-4FFD-A8B3-CAADD18683FC}"/>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963" t="10499" r="24620" b="20123"/>
        <a:stretch>
          <a:fillRect/>
        </a:stretch>
      </xdr:blipFill>
      <xdr:spPr bwMode="auto">
        <a:xfrm>
          <a:off x="8810625" y="0"/>
          <a:ext cx="1236370" cy="1204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4539E-0A9D-44E5-ABE3-319506A5DA3D}">
  <sheetPr codeName="Feuil5"/>
  <dimension ref="A1:M18"/>
  <sheetViews>
    <sheetView tabSelected="1" workbookViewId="0">
      <selection activeCell="L20" sqref="L20"/>
    </sheetView>
  </sheetViews>
  <sheetFormatPr baseColWidth="10" defaultRowHeight="15" x14ac:dyDescent="0.25"/>
  <cols>
    <col min="1" max="11" width="11.42578125" style="1"/>
    <col min="12" max="12" width="18.85546875" style="1" bestFit="1" customWidth="1"/>
    <col min="13" max="16384" width="11.42578125" style="1"/>
  </cols>
  <sheetData>
    <row r="1" spans="1:13" x14ac:dyDescent="0.25">
      <c r="A1" s="31" t="s">
        <v>209</v>
      </c>
      <c r="B1" s="32"/>
      <c r="C1" s="32"/>
      <c r="D1" s="32"/>
      <c r="E1" s="32"/>
      <c r="F1" s="32"/>
      <c r="G1" s="32"/>
      <c r="H1" s="32"/>
      <c r="I1" s="32"/>
      <c r="J1" s="32"/>
      <c r="K1" s="32"/>
      <c r="L1" s="32"/>
      <c r="M1" s="32"/>
    </row>
    <row r="2" spans="1:13" x14ac:dyDescent="0.25">
      <c r="A2" s="32"/>
      <c r="B2" s="32"/>
      <c r="C2" s="32"/>
      <c r="D2" s="32"/>
      <c r="E2" s="32"/>
      <c r="F2" s="32"/>
      <c r="G2" s="32"/>
      <c r="H2" s="32"/>
      <c r="I2" s="32"/>
      <c r="J2" s="32"/>
      <c r="K2" s="32"/>
      <c r="L2" s="32"/>
      <c r="M2" s="32"/>
    </row>
    <row r="3" spans="1:13" x14ac:dyDescent="0.25">
      <c r="A3" s="32"/>
      <c r="B3" s="32"/>
      <c r="C3" s="32"/>
      <c r="D3" s="32"/>
      <c r="E3" s="32"/>
      <c r="F3" s="32"/>
      <c r="G3" s="32"/>
      <c r="H3" s="32"/>
      <c r="I3" s="32"/>
      <c r="J3" s="32"/>
      <c r="K3" s="32"/>
      <c r="L3" s="32"/>
      <c r="M3" s="32"/>
    </row>
    <row r="4" spans="1:13" x14ac:dyDescent="0.25">
      <c r="A4" s="32"/>
      <c r="B4" s="32"/>
      <c r="C4" s="32"/>
      <c r="D4" s="32"/>
      <c r="E4" s="32"/>
      <c r="F4" s="32"/>
      <c r="G4" s="32"/>
      <c r="H4" s="32"/>
      <c r="I4" s="32"/>
      <c r="J4" s="32"/>
      <c r="K4" s="32"/>
      <c r="L4" s="32"/>
      <c r="M4" s="32"/>
    </row>
    <row r="5" spans="1:13" x14ac:dyDescent="0.25">
      <c r="A5" s="32"/>
      <c r="B5" s="32"/>
      <c r="C5" s="32"/>
      <c r="D5" s="32"/>
      <c r="E5" s="32"/>
      <c r="F5" s="32"/>
      <c r="G5" s="32"/>
      <c r="H5" s="32"/>
      <c r="I5" s="32"/>
      <c r="J5" s="32"/>
      <c r="K5" s="32"/>
      <c r="L5" s="32"/>
      <c r="M5" s="32"/>
    </row>
    <row r="6" spans="1:13" x14ac:dyDescent="0.25">
      <c r="A6" s="32"/>
      <c r="B6" s="32"/>
      <c r="C6" s="32"/>
      <c r="D6" s="32"/>
      <c r="E6" s="32"/>
      <c r="F6" s="32"/>
      <c r="G6" s="32"/>
      <c r="H6" s="32"/>
      <c r="I6" s="32"/>
      <c r="J6" s="32"/>
      <c r="K6" s="32"/>
      <c r="L6" s="32"/>
      <c r="M6" s="32"/>
    </row>
    <row r="7" spans="1:13" x14ac:dyDescent="0.25">
      <c r="A7" s="32"/>
      <c r="B7" s="32"/>
      <c r="C7" s="32"/>
      <c r="D7" s="32"/>
      <c r="E7" s="32"/>
      <c r="F7" s="32"/>
      <c r="G7" s="32"/>
      <c r="H7" s="32"/>
      <c r="I7" s="32"/>
      <c r="J7" s="32"/>
      <c r="K7" s="32"/>
      <c r="L7" s="32"/>
      <c r="M7" s="32"/>
    </row>
    <row r="8" spans="1:13" x14ac:dyDescent="0.25">
      <c r="A8" s="32"/>
      <c r="B8" s="32"/>
      <c r="C8" s="32"/>
      <c r="D8" s="32"/>
      <c r="E8" s="32"/>
      <c r="F8" s="32"/>
      <c r="G8" s="32"/>
      <c r="H8" s="32"/>
      <c r="I8" s="32"/>
      <c r="J8" s="32"/>
      <c r="K8" s="32"/>
      <c r="L8" s="32"/>
      <c r="M8" s="32"/>
    </row>
    <row r="9" spans="1:13" x14ac:dyDescent="0.25">
      <c r="A9" s="32"/>
      <c r="B9" s="32"/>
      <c r="C9" s="32"/>
      <c r="D9" s="32"/>
      <c r="E9" s="32"/>
      <c r="F9" s="32"/>
      <c r="G9" s="32"/>
      <c r="H9" s="32"/>
      <c r="I9" s="32"/>
      <c r="J9" s="32"/>
      <c r="K9" s="32"/>
      <c r="L9" s="32"/>
      <c r="M9" s="32"/>
    </row>
    <row r="10" spans="1:13" x14ac:dyDescent="0.25">
      <c r="A10" s="32"/>
      <c r="B10" s="32"/>
      <c r="C10" s="32"/>
      <c r="D10" s="32"/>
      <c r="E10" s="32"/>
      <c r="F10" s="32"/>
      <c r="G10" s="32"/>
      <c r="H10" s="32"/>
      <c r="I10" s="32"/>
      <c r="J10" s="32"/>
      <c r="K10" s="32"/>
      <c r="L10" s="32"/>
      <c r="M10" s="32"/>
    </row>
    <row r="11" spans="1:13" x14ac:dyDescent="0.25">
      <c r="A11" s="32"/>
      <c r="B11" s="32"/>
      <c r="C11" s="32"/>
      <c r="D11" s="32"/>
      <c r="E11" s="32"/>
      <c r="F11" s="32"/>
      <c r="G11" s="32"/>
      <c r="H11" s="32"/>
      <c r="I11" s="32"/>
      <c r="J11" s="32"/>
      <c r="K11" s="32"/>
      <c r="L11" s="32"/>
      <c r="M11" s="32"/>
    </row>
    <row r="12" spans="1:13" x14ac:dyDescent="0.25">
      <c r="A12" s="32"/>
      <c r="B12" s="32"/>
      <c r="C12" s="32"/>
      <c r="D12" s="32"/>
      <c r="E12" s="32"/>
      <c r="F12" s="32"/>
      <c r="G12" s="32"/>
      <c r="H12" s="32"/>
      <c r="I12" s="32"/>
      <c r="J12" s="32"/>
      <c r="K12" s="32"/>
      <c r="L12" s="32"/>
      <c r="M12" s="32"/>
    </row>
    <row r="13" spans="1:13" x14ac:dyDescent="0.25">
      <c r="A13" s="32"/>
      <c r="B13" s="32"/>
      <c r="C13" s="32"/>
      <c r="D13" s="32"/>
      <c r="E13" s="32"/>
      <c r="F13" s="32"/>
      <c r="G13" s="32"/>
      <c r="H13" s="32"/>
      <c r="I13" s="32"/>
      <c r="J13" s="32"/>
      <c r="K13" s="32"/>
      <c r="L13" s="32"/>
      <c r="M13" s="32"/>
    </row>
    <row r="14" spans="1:13" x14ac:dyDescent="0.25">
      <c r="A14" s="32"/>
      <c r="B14" s="32"/>
      <c r="C14" s="32"/>
      <c r="D14" s="32"/>
      <c r="E14" s="32"/>
      <c r="F14" s="32"/>
      <c r="G14" s="32"/>
      <c r="H14" s="32"/>
      <c r="I14" s="32"/>
      <c r="J14" s="32"/>
      <c r="K14" s="32"/>
      <c r="L14" s="32"/>
      <c r="M14" s="32"/>
    </row>
    <row r="15" spans="1:13" x14ac:dyDescent="0.25">
      <c r="A15" s="32"/>
      <c r="B15" s="32"/>
      <c r="C15" s="32"/>
      <c r="D15" s="33" t="s">
        <v>210</v>
      </c>
      <c r="E15" s="32"/>
      <c r="F15" s="32"/>
      <c r="G15" s="32"/>
      <c r="H15" s="32"/>
      <c r="I15" s="32"/>
      <c r="J15" s="32"/>
      <c r="K15" s="32"/>
      <c r="L15" s="33"/>
      <c r="M15" s="32"/>
    </row>
    <row r="16" spans="1:13" x14ac:dyDescent="0.25">
      <c r="A16" s="32"/>
      <c r="B16" s="32"/>
      <c r="C16" s="32"/>
      <c r="D16" s="32"/>
      <c r="E16" s="32"/>
      <c r="F16" s="32"/>
      <c r="G16" s="32"/>
      <c r="H16" s="32"/>
      <c r="I16" s="32"/>
      <c r="J16" s="32"/>
      <c r="K16" s="32"/>
      <c r="L16" s="32"/>
      <c r="M16" s="32"/>
    </row>
    <row r="17" spans="1:13" x14ac:dyDescent="0.25">
      <c r="A17" s="32"/>
      <c r="B17" s="32"/>
      <c r="C17" s="32"/>
      <c r="D17" s="32"/>
      <c r="E17" s="32"/>
      <c r="F17" s="32"/>
      <c r="G17" s="32"/>
      <c r="H17" s="32"/>
      <c r="I17" s="32"/>
      <c r="J17" s="32"/>
      <c r="K17" s="32"/>
      <c r="L17" s="32"/>
      <c r="M17" s="32"/>
    </row>
    <row r="18" spans="1:13" x14ac:dyDescent="0.25">
      <c r="A18" s="32"/>
      <c r="B18" s="32"/>
      <c r="C18" s="32"/>
      <c r="D18" s="32"/>
      <c r="E18" s="32"/>
      <c r="F18" s="32"/>
      <c r="G18" s="32"/>
      <c r="H18" s="32"/>
      <c r="I18" s="32"/>
      <c r="J18" s="32"/>
      <c r="K18" s="34"/>
      <c r="L18" s="35"/>
      <c r="M18" s="36"/>
    </row>
  </sheetData>
  <sheetProtection algorithmName="SHA-512" hashValue="mfW9gtnjqRk4oxHXz1GSn1hZCeRcl+MVuKhgSO/eSp8FR0CX3wmOfVXkakb+5OaBlTh5c1wj+T9XChhqDN779g==" saltValue="/xranu0kHqHKbwS9Km0/e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35053-4CC0-4FA1-8485-D58DE96C7EF0}">
  <sheetPr codeName="Feuil6"/>
  <dimension ref="A1:G10"/>
  <sheetViews>
    <sheetView workbookViewId="0">
      <selection activeCell="A10" sqref="A10"/>
    </sheetView>
  </sheetViews>
  <sheetFormatPr baseColWidth="10" defaultRowHeight="15" x14ac:dyDescent="0.25"/>
  <cols>
    <col min="1" max="1" width="16.5703125" bestFit="1" customWidth="1"/>
    <col min="2" max="3" width="37.7109375" bestFit="1" customWidth="1"/>
  </cols>
  <sheetData>
    <row r="1" spans="1:7" x14ac:dyDescent="0.25">
      <c r="A1" s="37" t="s">
        <v>211</v>
      </c>
      <c r="B1" s="37" t="str" cm="1">
        <f t="array" ref="B1">GetPCID()</f>
        <v>5E043C1C-2E36-4294-917F-FC5CEEDE9A62</v>
      </c>
      <c r="C1" s="37"/>
      <c r="D1" s="38">
        <v>46631</v>
      </c>
      <c r="E1" s="38">
        <v>46576</v>
      </c>
      <c r="F1" s="37"/>
      <c r="G1" s="38">
        <v>46211</v>
      </c>
    </row>
    <row r="2" spans="1:7" x14ac:dyDescent="0.25">
      <c r="A2" s="37" t="s">
        <v>212</v>
      </c>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9" t="s">
        <v>213</v>
      </c>
      <c r="B10" s="37"/>
      <c r="C10" s="37"/>
      <c r="D10" s="37"/>
      <c r="E10" s="37"/>
      <c r="F10" s="37"/>
      <c r="G10" s="37"/>
    </row>
  </sheetData>
  <sheetProtection algorithmName="SHA-512" hashValue="LmlwoIvM0kUX+lx42cISovsF1200FSefjCQTrA9yGz1cyZR6fMbV0B5yGsQn91R2CvR/dsUG5rcwUnjfdTlbsw==" saltValue="ZceuYgZ30jqWLZknPF5uEw=="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0F3BA-0110-47BB-807A-9BE018FA8B02}">
  <sheetPr codeName="Feuil7"/>
  <dimension ref="B1:D12"/>
  <sheetViews>
    <sheetView workbookViewId="0">
      <selection activeCell="E15" sqref="E15"/>
    </sheetView>
  </sheetViews>
  <sheetFormatPr baseColWidth="10" defaultRowHeight="15" x14ac:dyDescent="0.25"/>
  <cols>
    <col min="1" max="16384" width="11.42578125" style="1"/>
  </cols>
  <sheetData>
    <row r="1" spans="2:4" x14ac:dyDescent="0.25">
      <c r="B1" s="33" t="s">
        <v>210</v>
      </c>
      <c r="C1" s="32"/>
      <c r="D1" s="32"/>
    </row>
    <row r="2" spans="2:4" x14ac:dyDescent="0.25">
      <c r="B2" s="32"/>
      <c r="C2" s="32"/>
      <c r="D2" s="32"/>
    </row>
    <row r="3" spans="2:4" x14ac:dyDescent="0.25">
      <c r="B3" s="32"/>
      <c r="C3" s="32"/>
      <c r="D3" s="32"/>
    </row>
    <row r="4" spans="2:4" x14ac:dyDescent="0.25">
      <c r="B4" s="32"/>
      <c r="C4" s="32"/>
      <c r="D4" s="32"/>
    </row>
    <row r="5" spans="2:4" x14ac:dyDescent="0.25">
      <c r="B5" s="32"/>
      <c r="C5" s="32"/>
      <c r="D5" s="32"/>
    </row>
    <row r="6" spans="2:4" x14ac:dyDescent="0.25">
      <c r="B6" s="32"/>
      <c r="C6" s="32"/>
      <c r="D6" s="32"/>
    </row>
    <row r="7" spans="2:4" x14ac:dyDescent="0.25">
      <c r="B7" s="32"/>
      <c r="C7" s="32"/>
      <c r="D7" s="32"/>
    </row>
    <row r="8" spans="2:4" x14ac:dyDescent="0.25">
      <c r="B8" s="32"/>
      <c r="C8" s="32"/>
      <c r="D8" s="32"/>
    </row>
    <row r="9" spans="2:4" x14ac:dyDescent="0.25">
      <c r="B9" s="32"/>
      <c r="C9" s="32"/>
      <c r="D9" s="33"/>
    </row>
    <row r="10" spans="2:4" x14ac:dyDescent="0.25">
      <c r="B10" s="32"/>
      <c r="C10" s="32"/>
      <c r="D10" s="32"/>
    </row>
    <row r="11" spans="2:4" x14ac:dyDescent="0.25">
      <c r="B11" s="32"/>
      <c r="C11" s="32"/>
      <c r="D11" s="32"/>
    </row>
    <row r="12" spans="2:4" x14ac:dyDescent="0.25">
      <c r="B12" s="32"/>
      <c r="C12" s="32"/>
      <c r="D12" s="32"/>
    </row>
  </sheetData>
  <sheetProtection algorithmName="SHA-512" hashValue="fHmIhJCYtbYZ9SWe1Tyz8uSxDPHgXIq+Uxp/DimFcFz/oCcWgphm6qmbhmrzELdSs2Tjwqo6U48WFGFu8oL6Xw==" saltValue="VaTWXQzMvcHhhopEzE/4Lw=="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G99"/>
  <sheetViews>
    <sheetView showGridLines="0" topLeftCell="B1" zoomScale="85" zoomScaleNormal="85" workbookViewId="0">
      <selection activeCell="B4" sqref="B4"/>
    </sheetView>
  </sheetViews>
  <sheetFormatPr baseColWidth="10" defaultColWidth="9.140625" defaultRowHeight="15" x14ac:dyDescent="0.25"/>
  <cols>
    <col min="1" max="1" width="9.140625" style="1"/>
    <col min="2" max="2" width="41" style="1" bestFit="1" customWidth="1"/>
    <col min="3" max="3" width="10" style="1" bestFit="1" customWidth="1"/>
    <col min="4" max="4" width="9.7109375" style="1" bestFit="1" customWidth="1"/>
    <col min="5" max="5" width="12.140625" style="1" bestFit="1" customWidth="1"/>
    <col min="6" max="7" width="100.7109375" style="1" customWidth="1"/>
    <col min="8" max="16384" width="9.140625" style="1"/>
  </cols>
  <sheetData>
    <row r="1" spans="2:7" ht="99.95" customHeight="1" x14ac:dyDescent="0.25">
      <c r="C1" s="1" t="s">
        <v>16</v>
      </c>
    </row>
    <row r="2" spans="2:7" ht="15.75" thickBot="1" x14ac:dyDescent="0.3"/>
    <row r="3" spans="2:7" ht="50.1" customHeight="1" thickBot="1" x14ac:dyDescent="0.3">
      <c r="B3" s="40" t="s">
        <v>203</v>
      </c>
      <c r="C3" s="41" t="s">
        <v>204</v>
      </c>
      <c r="D3" s="42" t="s">
        <v>205</v>
      </c>
      <c r="E3" s="43" t="s">
        <v>206</v>
      </c>
      <c r="F3" s="44" t="s">
        <v>167</v>
      </c>
      <c r="G3" s="44" t="s">
        <v>168</v>
      </c>
    </row>
    <row r="4" spans="2:7" ht="50.1" customHeight="1" x14ac:dyDescent="0.25">
      <c r="B4" s="45" t="s">
        <v>6</v>
      </c>
      <c r="C4" s="46">
        <v>1</v>
      </c>
      <c r="D4" s="47" t="s">
        <v>201</v>
      </c>
      <c r="E4" s="48" t="s">
        <v>3</v>
      </c>
      <c r="F4" s="49" t="s">
        <v>170</v>
      </c>
      <c r="G4" s="49" t="s">
        <v>171</v>
      </c>
    </row>
    <row r="5" spans="2:7" ht="50.1" customHeight="1" x14ac:dyDescent="0.25">
      <c r="B5" s="50" t="s">
        <v>6</v>
      </c>
      <c r="C5" s="51">
        <v>1</v>
      </c>
      <c r="D5" s="52" t="s">
        <v>201</v>
      </c>
      <c r="E5" s="53" t="s">
        <v>4</v>
      </c>
      <c r="F5" s="54" t="s">
        <v>22</v>
      </c>
      <c r="G5" s="54" t="s">
        <v>106</v>
      </c>
    </row>
    <row r="6" spans="2:7" ht="50.1" customHeight="1" x14ac:dyDescent="0.25">
      <c r="B6" s="50" t="s">
        <v>6</v>
      </c>
      <c r="C6" s="51">
        <v>1</v>
      </c>
      <c r="D6" s="52" t="s">
        <v>201</v>
      </c>
      <c r="E6" s="53" t="s">
        <v>5</v>
      </c>
      <c r="F6" s="54" t="s">
        <v>23</v>
      </c>
      <c r="G6" s="54" t="s">
        <v>107</v>
      </c>
    </row>
    <row r="7" spans="2:7" ht="50.1" customHeight="1" x14ac:dyDescent="0.25">
      <c r="B7" s="50" t="s">
        <v>6</v>
      </c>
      <c r="C7" s="51">
        <v>1</v>
      </c>
      <c r="D7" s="52" t="s">
        <v>202</v>
      </c>
      <c r="E7" s="53" t="s">
        <v>3</v>
      </c>
      <c r="F7" s="54" t="s">
        <v>214</v>
      </c>
      <c r="G7" s="54" t="s">
        <v>215</v>
      </c>
    </row>
    <row r="8" spans="2:7" ht="50.1" customHeight="1" x14ac:dyDescent="0.25">
      <c r="B8" s="50" t="s">
        <v>6</v>
      </c>
      <c r="C8" s="51">
        <v>1</v>
      </c>
      <c r="D8" s="52" t="s">
        <v>202</v>
      </c>
      <c r="E8" s="53" t="s">
        <v>4</v>
      </c>
      <c r="F8" s="54" t="s">
        <v>24</v>
      </c>
      <c r="G8" s="54" t="s">
        <v>108</v>
      </c>
    </row>
    <row r="9" spans="2:7" ht="50.1" customHeight="1" thickBot="1" x14ac:dyDescent="0.3">
      <c r="B9" s="55" t="s">
        <v>6</v>
      </c>
      <c r="C9" s="56">
        <v>1</v>
      </c>
      <c r="D9" s="57" t="s">
        <v>202</v>
      </c>
      <c r="E9" s="58" t="s">
        <v>5</v>
      </c>
      <c r="F9" s="59" t="s">
        <v>25</v>
      </c>
      <c r="G9" s="59" t="s">
        <v>109</v>
      </c>
    </row>
    <row r="10" spans="2:7" ht="50.1" customHeight="1" x14ac:dyDescent="0.25">
      <c r="B10" s="45" t="s">
        <v>14</v>
      </c>
      <c r="C10" s="46">
        <v>2</v>
      </c>
      <c r="D10" s="47" t="s">
        <v>201</v>
      </c>
      <c r="E10" s="48" t="s">
        <v>4</v>
      </c>
      <c r="F10" s="49" t="s">
        <v>178</v>
      </c>
      <c r="G10" s="49" t="s">
        <v>143</v>
      </c>
    </row>
    <row r="11" spans="2:7" ht="50.1" customHeight="1" x14ac:dyDescent="0.25">
      <c r="B11" s="50" t="s">
        <v>14</v>
      </c>
      <c r="C11" s="51">
        <v>2</v>
      </c>
      <c r="D11" s="52" t="s">
        <v>201</v>
      </c>
      <c r="E11" s="53" t="s">
        <v>5</v>
      </c>
      <c r="F11" s="54" t="s">
        <v>76</v>
      </c>
      <c r="G11" s="54" t="s">
        <v>144</v>
      </c>
    </row>
    <row r="12" spans="2:7" ht="50.1" customHeight="1" x14ac:dyDescent="0.25">
      <c r="B12" s="50" t="s">
        <v>14</v>
      </c>
      <c r="C12" s="51">
        <v>2</v>
      </c>
      <c r="D12" s="52" t="s">
        <v>201</v>
      </c>
      <c r="E12" s="53" t="s">
        <v>3</v>
      </c>
      <c r="F12" s="54" t="s">
        <v>77</v>
      </c>
      <c r="G12" s="54" t="s">
        <v>165</v>
      </c>
    </row>
    <row r="13" spans="2:7" ht="50.1" customHeight="1" x14ac:dyDescent="0.25">
      <c r="B13" s="50" t="s">
        <v>14</v>
      </c>
      <c r="C13" s="51">
        <v>2</v>
      </c>
      <c r="D13" s="52" t="s">
        <v>202</v>
      </c>
      <c r="E13" s="53" t="s">
        <v>4</v>
      </c>
      <c r="F13" s="54" t="s">
        <v>178</v>
      </c>
      <c r="G13" s="54" t="s">
        <v>146</v>
      </c>
    </row>
    <row r="14" spans="2:7" ht="50.1" customHeight="1" x14ac:dyDescent="0.25">
      <c r="B14" s="50" t="s">
        <v>14</v>
      </c>
      <c r="C14" s="51">
        <v>2</v>
      </c>
      <c r="D14" s="52" t="s">
        <v>202</v>
      </c>
      <c r="E14" s="53" t="s">
        <v>5</v>
      </c>
      <c r="F14" s="54" t="s">
        <v>78</v>
      </c>
      <c r="G14" s="54" t="s">
        <v>145</v>
      </c>
    </row>
    <row r="15" spans="2:7" ht="50.1" customHeight="1" thickBot="1" x14ac:dyDescent="0.3">
      <c r="B15" s="55" t="s">
        <v>14</v>
      </c>
      <c r="C15" s="56">
        <v>2</v>
      </c>
      <c r="D15" s="57" t="s">
        <v>202</v>
      </c>
      <c r="E15" s="58" t="s">
        <v>3</v>
      </c>
      <c r="F15" s="59" t="s">
        <v>75</v>
      </c>
      <c r="G15" s="59" t="s">
        <v>166</v>
      </c>
    </row>
    <row r="16" spans="2:7" ht="50.1" customHeight="1" x14ac:dyDescent="0.25">
      <c r="B16" s="45" t="s">
        <v>12</v>
      </c>
      <c r="C16" s="46">
        <v>3</v>
      </c>
      <c r="D16" s="47" t="s">
        <v>201</v>
      </c>
      <c r="E16" s="48" t="s">
        <v>3</v>
      </c>
      <c r="F16" s="49" t="s">
        <v>81</v>
      </c>
      <c r="G16" s="49" t="s">
        <v>132</v>
      </c>
    </row>
    <row r="17" spans="2:7" ht="50.1" customHeight="1" x14ac:dyDescent="0.25">
      <c r="B17" s="50" t="s">
        <v>12</v>
      </c>
      <c r="C17" s="51">
        <v>3</v>
      </c>
      <c r="D17" s="52" t="s">
        <v>201</v>
      </c>
      <c r="E17" s="53" t="s">
        <v>4</v>
      </c>
      <c r="F17" s="54" t="s">
        <v>80</v>
      </c>
      <c r="G17" s="54" t="s">
        <v>133</v>
      </c>
    </row>
    <row r="18" spans="2:7" ht="50.1" customHeight="1" x14ac:dyDescent="0.25">
      <c r="B18" s="50" t="s">
        <v>12</v>
      </c>
      <c r="C18" s="51">
        <v>3</v>
      </c>
      <c r="D18" s="52" t="s">
        <v>201</v>
      </c>
      <c r="E18" s="53" t="s">
        <v>5</v>
      </c>
      <c r="F18" s="54" t="s">
        <v>79</v>
      </c>
      <c r="G18" s="54" t="s">
        <v>134</v>
      </c>
    </row>
    <row r="19" spans="2:7" ht="50.1" customHeight="1" x14ac:dyDescent="0.25">
      <c r="B19" s="50" t="s">
        <v>12</v>
      </c>
      <c r="C19" s="51">
        <v>3</v>
      </c>
      <c r="D19" s="52" t="s">
        <v>202</v>
      </c>
      <c r="E19" s="53" t="s">
        <v>3</v>
      </c>
      <c r="F19" s="54" t="s">
        <v>176</v>
      </c>
      <c r="G19" s="54" t="s">
        <v>177</v>
      </c>
    </row>
    <row r="20" spans="2:7" ht="50.1" customHeight="1" x14ac:dyDescent="0.25">
      <c r="B20" s="50" t="s">
        <v>12</v>
      </c>
      <c r="C20" s="51">
        <v>3</v>
      </c>
      <c r="D20" s="52" t="s">
        <v>202</v>
      </c>
      <c r="E20" s="53" t="s">
        <v>4</v>
      </c>
      <c r="F20" s="54" t="s">
        <v>46</v>
      </c>
      <c r="G20" s="54" t="s">
        <v>135</v>
      </c>
    </row>
    <row r="21" spans="2:7" ht="50.1" customHeight="1" thickBot="1" x14ac:dyDescent="0.3">
      <c r="B21" s="55" t="s">
        <v>12</v>
      </c>
      <c r="C21" s="56">
        <v>3</v>
      </c>
      <c r="D21" s="57" t="s">
        <v>202</v>
      </c>
      <c r="E21" s="58" t="s">
        <v>5</v>
      </c>
      <c r="F21" s="59" t="s">
        <v>47</v>
      </c>
      <c r="G21" s="59" t="s">
        <v>136</v>
      </c>
    </row>
    <row r="22" spans="2:7" ht="50.1" customHeight="1" x14ac:dyDescent="0.25">
      <c r="B22" s="45" t="s">
        <v>11</v>
      </c>
      <c r="C22" s="46">
        <v>4</v>
      </c>
      <c r="D22" s="47" t="s">
        <v>201</v>
      </c>
      <c r="E22" s="48" t="s">
        <v>3</v>
      </c>
      <c r="F22" s="49" t="s">
        <v>44</v>
      </c>
      <c r="G22" s="49" t="s">
        <v>130</v>
      </c>
    </row>
    <row r="23" spans="2:7" ht="50.1" customHeight="1" x14ac:dyDescent="0.25">
      <c r="B23" s="50" t="s">
        <v>11</v>
      </c>
      <c r="C23" s="51">
        <v>4</v>
      </c>
      <c r="D23" s="52" t="s">
        <v>201</v>
      </c>
      <c r="E23" s="53" t="s">
        <v>4</v>
      </c>
      <c r="F23" s="54" t="s">
        <v>45</v>
      </c>
      <c r="G23" s="54" t="s">
        <v>131</v>
      </c>
    </row>
    <row r="24" spans="2:7" ht="50.1" customHeight="1" x14ac:dyDescent="0.25">
      <c r="B24" s="50" t="s">
        <v>11</v>
      </c>
      <c r="C24" s="51">
        <v>4</v>
      </c>
      <c r="D24" s="52" t="s">
        <v>201</v>
      </c>
      <c r="E24" s="53" t="s">
        <v>5</v>
      </c>
      <c r="F24" s="54" t="s">
        <v>172</v>
      </c>
      <c r="G24" s="54" t="s">
        <v>173</v>
      </c>
    </row>
    <row r="25" spans="2:7" ht="50.1" customHeight="1" x14ac:dyDescent="0.25">
      <c r="B25" s="50" t="s">
        <v>11</v>
      </c>
      <c r="C25" s="51">
        <v>4</v>
      </c>
      <c r="D25" s="52" t="s">
        <v>202</v>
      </c>
      <c r="E25" s="53" t="s">
        <v>3</v>
      </c>
      <c r="F25" s="54" t="s">
        <v>44</v>
      </c>
      <c r="G25" s="54" t="s">
        <v>130</v>
      </c>
    </row>
    <row r="26" spans="2:7" ht="50.1" customHeight="1" x14ac:dyDescent="0.25">
      <c r="B26" s="50" t="s">
        <v>11</v>
      </c>
      <c r="C26" s="51">
        <v>4</v>
      </c>
      <c r="D26" s="52" t="s">
        <v>202</v>
      </c>
      <c r="E26" s="53" t="s">
        <v>4</v>
      </c>
      <c r="F26" s="54" t="s">
        <v>45</v>
      </c>
      <c r="G26" s="54" t="s">
        <v>131</v>
      </c>
    </row>
    <row r="27" spans="2:7" ht="50.1" customHeight="1" thickBot="1" x14ac:dyDescent="0.3">
      <c r="B27" s="55" t="s">
        <v>11</v>
      </c>
      <c r="C27" s="56">
        <v>4</v>
      </c>
      <c r="D27" s="57" t="s">
        <v>202</v>
      </c>
      <c r="E27" s="58" t="s">
        <v>5</v>
      </c>
      <c r="F27" s="59" t="s">
        <v>174</v>
      </c>
      <c r="G27" s="59" t="s">
        <v>175</v>
      </c>
    </row>
    <row r="28" spans="2:7" ht="50.1" customHeight="1" x14ac:dyDescent="0.25">
      <c r="B28" s="45" t="s">
        <v>7</v>
      </c>
      <c r="C28" s="46">
        <v>5</v>
      </c>
      <c r="D28" s="47" t="s">
        <v>201</v>
      </c>
      <c r="E28" s="48" t="s">
        <v>3</v>
      </c>
      <c r="F28" s="49" t="s">
        <v>66</v>
      </c>
      <c r="G28" s="49" t="s">
        <v>110</v>
      </c>
    </row>
    <row r="29" spans="2:7" ht="50.1" customHeight="1" x14ac:dyDescent="0.25">
      <c r="B29" s="50" t="s">
        <v>7</v>
      </c>
      <c r="C29" s="51">
        <v>5</v>
      </c>
      <c r="D29" s="52" t="s">
        <v>201</v>
      </c>
      <c r="E29" s="53" t="s">
        <v>4</v>
      </c>
      <c r="F29" s="54" t="s">
        <v>65</v>
      </c>
      <c r="G29" s="54" t="s">
        <v>111</v>
      </c>
    </row>
    <row r="30" spans="2:7" ht="50.1" customHeight="1" x14ac:dyDescent="0.25">
      <c r="B30" s="50" t="s">
        <v>7</v>
      </c>
      <c r="C30" s="51">
        <v>5</v>
      </c>
      <c r="D30" s="52" t="s">
        <v>201</v>
      </c>
      <c r="E30" s="53" t="s">
        <v>5</v>
      </c>
      <c r="F30" s="54" t="s">
        <v>26</v>
      </c>
      <c r="G30" s="54" t="s">
        <v>112</v>
      </c>
    </row>
    <row r="31" spans="2:7" ht="50.1" customHeight="1" x14ac:dyDescent="0.25">
      <c r="B31" s="50" t="s">
        <v>7</v>
      </c>
      <c r="C31" s="51">
        <v>5</v>
      </c>
      <c r="D31" s="52" t="s">
        <v>202</v>
      </c>
      <c r="E31" s="53" t="s">
        <v>3</v>
      </c>
      <c r="F31" s="54" t="s">
        <v>27</v>
      </c>
      <c r="G31" s="54" t="s">
        <v>113</v>
      </c>
    </row>
    <row r="32" spans="2:7" ht="50.1" customHeight="1" x14ac:dyDescent="0.25">
      <c r="B32" s="50" t="s">
        <v>7</v>
      </c>
      <c r="C32" s="51">
        <v>5</v>
      </c>
      <c r="D32" s="52" t="s">
        <v>202</v>
      </c>
      <c r="E32" s="53" t="s">
        <v>4</v>
      </c>
      <c r="F32" s="54" t="s">
        <v>28</v>
      </c>
      <c r="G32" s="54" t="s">
        <v>114</v>
      </c>
    </row>
    <row r="33" spans="2:7" ht="50.1" customHeight="1" thickBot="1" x14ac:dyDescent="0.3">
      <c r="B33" s="55" t="s">
        <v>7</v>
      </c>
      <c r="C33" s="56">
        <v>5</v>
      </c>
      <c r="D33" s="57" t="s">
        <v>202</v>
      </c>
      <c r="E33" s="58" t="s">
        <v>5</v>
      </c>
      <c r="F33" s="59" t="s">
        <v>29</v>
      </c>
      <c r="G33" s="59" t="s">
        <v>115</v>
      </c>
    </row>
    <row r="34" spans="2:7" ht="50.1" customHeight="1" x14ac:dyDescent="0.25">
      <c r="B34" s="45" t="s">
        <v>15</v>
      </c>
      <c r="C34" s="46">
        <v>6</v>
      </c>
      <c r="D34" s="47" t="s">
        <v>201</v>
      </c>
      <c r="E34" s="48" t="s">
        <v>3</v>
      </c>
      <c r="F34" s="49" t="s">
        <v>54</v>
      </c>
      <c r="G34" s="49" t="s">
        <v>147</v>
      </c>
    </row>
    <row r="35" spans="2:7" ht="50.1" customHeight="1" x14ac:dyDescent="0.25">
      <c r="B35" s="50" t="s">
        <v>15</v>
      </c>
      <c r="C35" s="51">
        <v>6</v>
      </c>
      <c r="D35" s="52" t="s">
        <v>201</v>
      </c>
      <c r="E35" s="53" t="s">
        <v>4</v>
      </c>
      <c r="F35" s="54" t="s">
        <v>179</v>
      </c>
      <c r="G35" s="54" t="s">
        <v>180</v>
      </c>
    </row>
    <row r="36" spans="2:7" ht="50.1" customHeight="1" x14ac:dyDescent="0.25">
      <c r="B36" s="50" t="s">
        <v>15</v>
      </c>
      <c r="C36" s="51">
        <v>6</v>
      </c>
      <c r="D36" s="52" t="s">
        <v>201</v>
      </c>
      <c r="E36" s="53" t="s">
        <v>5</v>
      </c>
      <c r="F36" s="54" t="s">
        <v>64</v>
      </c>
      <c r="G36" s="54" t="s">
        <v>148</v>
      </c>
    </row>
    <row r="37" spans="2:7" ht="50.1" customHeight="1" x14ac:dyDescent="0.25">
      <c r="B37" s="50" t="s">
        <v>15</v>
      </c>
      <c r="C37" s="51">
        <v>6</v>
      </c>
      <c r="D37" s="52" t="s">
        <v>202</v>
      </c>
      <c r="E37" s="53" t="s">
        <v>3</v>
      </c>
      <c r="F37" s="54" t="s">
        <v>56</v>
      </c>
      <c r="G37" s="54" t="s">
        <v>149</v>
      </c>
    </row>
    <row r="38" spans="2:7" ht="50.1" customHeight="1" x14ac:dyDescent="0.25">
      <c r="B38" s="50" t="s">
        <v>15</v>
      </c>
      <c r="C38" s="51">
        <v>6</v>
      </c>
      <c r="D38" s="52" t="s">
        <v>202</v>
      </c>
      <c r="E38" s="53" t="s">
        <v>4</v>
      </c>
      <c r="F38" s="54" t="s">
        <v>55</v>
      </c>
      <c r="G38" s="54" t="s">
        <v>181</v>
      </c>
    </row>
    <row r="39" spans="2:7" ht="50.1" customHeight="1" thickBot="1" x14ac:dyDescent="0.3">
      <c r="B39" s="55" t="s">
        <v>15</v>
      </c>
      <c r="C39" s="56">
        <v>6</v>
      </c>
      <c r="D39" s="57" t="s">
        <v>202</v>
      </c>
      <c r="E39" s="58" t="s">
        <v>5</v>
      </c>
      <c r="F39" s="59" t="s">
        <v>182</v>
      </c>
      <c r="G39" s="59" t="s">
        <v>150</v>
      </c>
    </row>
    <row r="40" spans="2:7" ht="50.1" customHeight="1" x14ac:dyDescent="0.25">
      <c r="B40" s="45" t="s">
        <v>8</v>
      </c>
      <c r="C40" s="46">
        <v>7</v>
      </c>
      <c r="D40" s="47" t="s">
        <v>201</v>
      </c>
      <c r="E40" s="48" t="s">
        <v>3</v>
      </c>
      <c r="F40" s="49" t="s">
        <v>30</v>
      </c>
      <c r="G40" s="49" t="s">
        <v>116</v>
      </c>
    </row>
    <row r="41" spans="2:7" ht="50.1" customHeight="1" x14ac:dyDescent="0.25">
      <c r="B41" s="50" t="s">
        <v>8</v>
      </c>
      <c r="C41" s="51">
        <v>7</v>
      </c>
      <c r="D41" s="52" t="s">
        <v>201</v>
      </c>
      <c r="E41" s="53" t="s">
        <v>4</v>
      </c>
      <c r="F41" s="54" t="s">
        <v>31</v>
      </c>
      <c r="G41" s="54" t="s">
        <v>117</v>
      </c>
    </row>
    <row r="42" spans="2:7" ht="50.1" customHeight="1" x14ac:dyDescent="0.25">
      <c r="B42" s="50" t="s">
        <v>8</v>
      </c>
      <c r="C42" s="51">
        <v>7</v>
      </c>
      <c r="D42" s="52" t="s">
        <v>201</v>
      </c>
      <c r="E42" s="53" t="s">
        <v>5</v>
      </c>
      <c r="F42" s="54" t="s">
        <v>32</v>
      </c>
      <c r="G42" s="54" t="s">
        <v>118</v>
      </c>
    </row>
    <row r="43" spans="2:7" ht="50.1" customHeight="1" x14ac:dyDescent="0.25">
      <c r="B43" s="50" t="s">
        <v>8</v>
      </c>
      <c r="C43" s="51">
        <v>7</v>
      </c>
      <c r="D43" s="52" t="s">
        <v>202</v>
      </c>
      <c r="E43" s="53" t="s">
        <v>3</v>
      </c>
      <c r="F43" s="54" t="s">
        <v>33</v>
      </c>
      <c r="G43" s="54" t="s">
        <v>119</v>
      </c>
    </row>
    <row r="44" spans="2:7" ht="50.1" customHeight="1" x14ac:dyDescent="0.25">
      <c r="B44" s="50" t="s">
        <v>8</v>
      </c>
      <c r="C44" s="51">
        <v>7</v>
      </c>
      <c r="D44" s="52" t="s">
        <v>202</v>
      </c>
      <c r="E44" s="53" t="s">
        <v>4</v>
      </c>
      <c r="F44" s="54" t="s">
        <v>34</v>
      </c>
      <c r="G44" s="54" t="s">
        <v>117</v>
      </c>
    </row>
    <row r="45" spans="2:7" ht="50.1" customHeight="1" thickBot="1" x14ac:dyDescent="0.3">
      <c r="B45" s="55" t="s">
        <v>8</v>
      </c>
      <c r="C45" s="56">
        <v>7</v>
      </c>
      <c r="D45" s="57" t="s">
        <v>202</v>
      </c>
      <c r="E45" s="58" t="s">
        <v>5</v>
      </c>
      <c r="F45" s="59" t="s">
        <v>35</v>
      </c>
      <c r="G45" s="59" t="s">
        <v>120</v>
      </c>
    </row>
    <row r="46" spans="2:7" ht="50.1" customHeight="1" x14ac:dyDescent="0.25">
      <c r="B46" s="45" t="s">
        <v>67</v>
      </c>
      <c r="C46" s="46">
        <v>8</v>
      </c>
      <c r="D46" s="47" t="s">
        <v>201</v>
      </c>
      <c r="E46" s="48" t="s">
        <v>3</v>
      </c>
      <c r="F46" s="49" t="s">
        <v>57</v>
      </c>
      <c r="G46" s="49" t="s">
        <v>185</v>
      </c>
    </row>
    <row r="47" spans="2:7" ht="50.1" customHeight="1" x14ac:dyDescent="0.25">
      <c r="B47" s="50" t="s">
        <v>67</v>
      </c>
      <c r="C47" s="51">
        <v>8</v>
      </c>
      <c r="D47" s="52" t="s">
        <v>201</v>
      </c>
      <c r="E47" s="53" t="s">
        <v>4</v>
      </c>
      <c r="F47" s="54" t="s">
        <v>58</v>
      </c>
      <c r="G47" s="54" t="s">
        <v>186</v>
      </c>
    </row>
    <row r="48" spans="2:7" ht="50.1" customHeight="1" x14ac:dyDescent="0.25">
      <c r="B48" s="50" t="s">
        <v>67</v>
      </c>
      <c r="C48" s="51">
        <v>8</v>
      </c>
      <c r="D48" s="52" t="s">
        <v>201</v>
      </c>
      <c r="E48" s="53" t="s">
        <v>5</v>
      </c>
      <c r="F48" s="54" t="s">
        <v>59</v>
      </c>
      <c r="G48" s="54" t="s">
        <v>153</v>
      </c>
    </row>
    <row r="49" spans="2:7" ht="50.1" customHeight="1" x14ac:dyDescent="0.25">
      <c r="B49" s="50" t="s">
        <v>67</v>
      </c>
      <c r="C49" s="51">
        <v>8</v>
      </c>
      <c r="D49" s="52" t="s">
        <v>202</v>
      </c>
      <c r="E49" s="53" t="s">
        <v>3</v>
      </c>
      <c r="F49" s="54" t="s">
        <v>60</v>
      </c>
      <c r="G49" s="54" t="s">
        <v>184</v>
      </c>
    </row>
    <row r="50" spans="2:7" ht="50.1" customHeight="1" x14ac:dyDescent="0.25">
      <c r="B50" s="50" t="s">
        <v>67</v>
      </c>
      <c r="C50" s="51">
        <v>8</v>
      </c>
      <c r="D50" s="52" t="s">
        <v>202</v>
      </c>
      <c r="E50" s="53" t="s">
        <v>4</v>
      </c>
      <c r="F50" s="54" t="s">
        <v>61</v>
      </c>
      <c r="G50" s="54" t="s">
        <v>183</v>
      </c>
    </row>
    <row r="51" spans="2:7" ht="50.1" customHeight="1" thickBot="1" x14ac:dyDescent="0.3">
      <c r="B51" s="55" t="s">
        <v>67</v>
      </c>
      <c r="C51" s="56">
        <v>8</v>
      </c>
      <c r="D51" s="57" t="s">
        <v>202</v>
      </c>
      <c r="E51" s="58" t="s">
        <v>5</v>
      </c>
      <c r="F51" s="59" t="s">
        <v>62</v>
      </c>
      <c r="G51" s="59" t="s">
        <v>154</v>
      </c>
    </row>
    <row r="52" spans="2:7" ht="50.1" customHeight="1" x14ac:dyDescent="0.25">
      <c r="B52" s="45" t="s">
        <v>13</v>
      </c>
      <c r="C52" s="46">
        <v>9</v>
      </c>
      <c r="D52" s="47" t="s">
        <v>201</v>
      </c>
      <c r="E52" s="48" t="s">
        <v>3</v>
      </c>
      <c r="F52" s="49" t="s">
        <v>48</v>
      </c>
      <c r="G52" s="49" t="s">
        <v>137</v>
      </c>
    </row>
    <row r="53" spans="2:7" ht="50.1" customHeight="1" x14ac:dyDescent="0.25">
      <c r="B53" s="50" t="s">
        <v>13</v>
      </c>
      <c r="C53" s="51">
        <v>9</v>
      </c>
      <c r="D53" s="52" t="s">
        <v>201</v>
      </c>
      <c r="E53" s="53" t="s">
        <v>4</v>
      </c>
      <c r="F53" s="54" t="s">
        <v>49</v>
      </c>
      <c r="G53" s="54" t="s">
        <v>138</v>
      </c>
    </row>
    <row r="54" spans="2:7" ht="50.1" customHeight="1" x14ac:dyDescent="0.25">
      <c r="B54" s="50" t="s">
        <v>13</v>
      </c>
      <c r="C54" s="51">
        <v>9</v>
      </c>
      <c r="D54" s="52" t="s">
        <v>201</v>
      </c>
      <c r="E54" s="53" t="s">
        <v>5</v>
      </c>
      <c r="F54" s="54" t="s">
        <v>50</v>
      </c>
      <c r="G54" s="54" t="s">
        <v>139</v>
      </c>
    </row>
    <row r="55" spans="2:7" ht="50.1" customHeight="1" x14ac:dyDescent="0.25">
      <c r="B55" s="50" t="s">
        <v>13</v>
      </c>
      <c r="C55" s="51">
        <v>9</v>
      </c>
      <c r="D55" s="52" t="s">
        <v>202</v>
      </c>
      <c r="E55" s="53" t="s">
        <v>3</v>
      </c>
      <c r="F55" s="54" t="s">
        <v>51</v>
      </c>
      <c r="G55" s="54" t="s">
        <v>142</v>
      </c>
    </row>
    <row r="56" spans="2:7" ht="50.1" customHeight="1" x14ac:dyDescent="0.25">
      <c r="B56" s="50" t="s">
        <v>13</v>
      </c>
      <c r="C56" s="51">
        <v>9</v>
      </c>
      <c r="D56" s="52" t="s">
        <v>202</v>
      </c>
      <c r="E56" s="53" t="s">
        <v>4</v>
      </c>
      <c r="F56" s="54" t="s">
        <v>52</v>
      </c>
      <c r="G56" s="54" t="s">
        <v>140</v>
      </c>
    </row>
    <row r="57" spans="2:7" ht="50.1" customHeight="1" thickBot="1" x14ac:dyDescent="0.3">
      <c r="B57" s="55" t="s">
        <v>13</v>
      </c>
      <c r="C57" s="56">
        <v>9</v>
      </c>
      <c r="D57" s="57" t="s">
        <v>202</v>
      </c>
      <c r="E57" s="58" t="s">
        <v>5</v>
      </c>
      <c r="F57" s="59" t="s">
        <v>53</v>
      </c>
      <c r="G57" s="59" t="s">
        <v>141</v>
      </c>
    </row>
    <row r="58" spans="2:7" ht="50.1" customHeight="1" x14ac:dyDescent="0.25">
      <c r="B58" s="45" t="s">
        <v>9</v>
      </c>
      <c r="C58" s="46">
        <v>10</v>
      </c>
      <c r="D58" s="47" t="s">
        <v>201</v>
      </c>
      <c r="E58" s="48" t="s">
        <v>3</v>
      </c>
      <c r="F58" s="49" t="s">
        <v>36</v>
      </c>
      <c r="G58" s="49" t="s">
        <v>121</v>
      </c>
    </row>
    <row r="59" spans="2:7" ht="50.1" customHeight="1" x14ac:dyDescent="0.25">
      <c r="B59" s="50" t="s">
        <v>9</v>
      </c>
      <c r="C59" s="51">
        <v>10</v>
      </c>
      <c r="D59" s="52" t="s">
        <v>201</v>
      </c>
      <c r="E59" s="53" t="s">
        <v>4</v>
      </c>
      <c r="F59" s="54" t="s">
        <v>37</v>
      </c>
      <c r="G59" s="54" t="s">
        <v>122</v>
      </c>
    </row>
    <row r="60" spans="2:7" ht="50.1" customHeight="1" x14ac:dyDescent="0.25">
      <c r="B60" s="50" t="s">
        <v>9</v>
      </c>
      <c r="C60" s="51">
        <v>10</v>
      </c>
      <c r="D60" s="52" t="s">
        <v>201</v>
      </c>
      <c r="E60" s="53" t="s">
        <v>5</v>
      </c>
      <c r="F60" s="54" t="s">
        <v>38</v>
      </c>
      <c r="G60" s="54" t="s">
        <v>123</v>
      </c>
    </row>
    <row r="61" spans="2:7" ht="50.1" customHeight="1" x14ac:dyDescent="0.25">
      <c r="B61" s="50" t="s">
        <v>9</v>
      </c>
      <c r="C61" s="51">
        <v>10</v>
      </c>
      <c r="D61" s="52" t="s">
        <v>202</v>
      </c>
      <c r="E61" s="53" t="s">
        <v>3</v>
      </c>
      <c r="F61" s="54" t="s">
        <v>39</v>
      </c>
      <c r="G61" s="54" t="s">
        <v>124</v>
      </c>
    </row>
    <row r="62" spans="2:7" ht="50.1" customHeight="1" x14ac:dyDescent="0.25">
      <c r="B62" s="50" t="s">
        <v>9</v>
      </c>
      <c r="C62" s="51">
        <v>10</v>
      </c>
      <c r="D62" s="52" t="s">
        <v>202</v>
      </c>
      <c r="E62" s="53" t="s">
        <v>4</v>
      </c>
      <c r="F62" s="54" t="s">
        <v>40</v>
      </c>
      <c r="G62" s="54" t="s">
        <v>125</v>
      </c>
    </row>
    <row r="63" spans="2:7" ht="50.1" customHeight="1" thickBot="1" x14ac:dyDescent="0.3">
      <c r="B63" s="55" t="s">
        <v>9</v>
      </c>
      <c r="C63" s="56">
        <v>10</v>
      </c>
      <c r="D63" s="57" t="s">
        <v>202</v>
      </c>
      <c r="E63" s="58" t="s">
        <v>5</v>
      </c>
      <c r="F63" s="59" t="s">
        <v>41</v>
      </c>
      <c r="G63" s="59" t="s">
        <v>123</v>
      </c>
    </row>
    <row r="64" spans="2:7" ht="50.1" customHeight="1" x14ac:dyDescent="0.25">
      <c r="B64" s="45" t="s">
        <v>86</v>
      </c>
      <c r="C64" s="46">
        <v>11</v>
      </c>
      <c r="D64" s="47" t="s">
        <v>201</v>
      </c>
      <c r="E64" s="48" t="s">
        <v>3</v>
      </c>
      <c r="F64" s="49" t="s">
        <v>87</v>
      </c>
      <c r="G64" s="49" t="s">
        <v>192</v>
      </c>
    </row>
    <row r="65" spans="2:7" ht="50.1" customHeight="1" x14ac:dyDescent="0.25">
      <c r="B65" s="50" t="s">
        <v>86</v>
      </c>
      <c r="C65" s="51">
        <v>11</v>
      </c>
      <c r="D65" s="52" t="s">
        <v>201</v>
      </c>
      <c r="E65" s="53" t="s">
        <v>4</v>
      </c>
      <c r="F65" s="54" t="s">
        <v>88</v>
      </c>
      <c r="G65" s="54" t="s">
        <v>193</v>
      </c>
    </row>
    <row r="66" spans="2:7" ht="50.1" customHeight="1" x14ac:dyDescent="0.25">
      <c r="B66" s="50" t="s">
        <v>86</v>
      </c>
      <c r="C66" s="51">
        <v>11</v>
      </c>
      <c r="D66" s="52" t="s">
        <v>201</v>
      </c>
      <c r="E66" s="53" t="s">
        <v>5</v>
      </c>
      <c r="F66" s="54" t="s">
        <v>89</v>
      </c>
      <c r="G66" s="54" t="s">
        <v>158</v>
      </c>
    </row>
    <row r="67" spans="2:7" ht="50.1" customHeight="1" x14ac:dyDescent="0.25">
      <c r="B67" s="50" t="s">
        <v>86</v>
      </c>
      <c r="C67" s="51">
        <v>11</v>
      </c>
      <c r="D67" s="52" t="s">
        <v>202</v>
      </c>
      <c r="E67" s="53" t="s">
        <v>3</v>
      </c>
      <c r="F67" s="54" t="s">
        <v>90</v>
      </c>
      <c r="G67" s="54" t="s">
        <v>159</v>
      </c>
    </row>
    <row r="68" spans="2:7" ht="50.1" customHeight="1" x14ac:dyDescent="0.25">
      <c r="B68" s="50" t="s">
        <v>86</v>
      </c>
      <c r="C68" s="51">
        <v>11</v>
      </c>
      <c r="D68" s="52" t="s">
        <v>202</v>
      </c>
      <c r="E68" s="53" t="s">
        <v>4</v>
      </c>
      <c r="F68" s="54" t="s">
        <v>88</v>
      </c>
      <c r="G68" s="54" t="s">
        <v>157</v>
      </c>
    </row>
    <row r="69" spans="2:7" ht="50.1" customHeight="1" thickBot="1" x14ac:dyDescent="0.3">
      <c r="B69" s="55" t="s">
        <v>86</v>
      </c>
      <c r="C69" s="56">
        <v>11</v>
      </c>
      <c r="D69" s="57" t="s">
        <v>202</v>
      </c>
      <c r="E69" s="58" t="s">
        <v>5</v>
      </c>
      <c r="F69" s="59" t="s">
        <v>91</v>
      </c>
      <c r="G69" s="59" t="s">
        <v>160</v>
      </c>
    </row>
    <row r="70" spans="2:7" ht="50.1" customHeight="1" x14ac:dyDescent="0.25">
      <c r="B70" s="45" t="s">
        <v>63</v>
      </c>
      <c r="C70" s="46">
        <v>12</v>
      </c>
      <c r="D70" s="47" t="s">
        <v>201</v>
      </c>
      <c r="E70" s="48" t="s">
        <v>3</v>
      </c>
      <c r="F70" s="49" t="s">
        <v>57</v>
      </c>
      <c r="G70" s="49" t="s">
        <v>216</v>
      </c>
    </row>
    <row r="71" spans="2:7" ht="50.1" customHeight="1" x14ac:dyDescent="0.25">
      <c r="B71" s="50" t="s">
        <v>63</v>
      </c>
      <c r="C71" s="51">
        <v>12</v>
      </c>
      <c r="D71" s="52" t="s">
        <v>201</v>
      </c>
      <c r="E71" s="53" t="s">
        <v>4</v>
      </c>
      <c r="F71" s="54" t="s">
        <v>58</v>
      </c>
      <c r="G71" s="54" t="s">
        <v>217</v>
      </c>
    </row>
    <row r="72" spans="2:7" ht="50.1" customHeight="1" x14ac:dyDescent="0.25">
      <c r="B72" s="50" t="s">
        <v>63</v>
      </c>
      <c r="C72" s="51">
        <v>12</v>
      </c>
      <c r="D72" s="52" t="s">
        <v>201</v>
      </c>
      <c r="E72" s="53" t="s">
        <v>5</v>
      </c>
      <c r="F72" s="54" t="s">
        <v>59</v>
      </c>
      <c r="G72" s="54" t="s">
        <v>151</v>
      </c>
    </row>
    <row r="73" spans="2:7" ht="50.1" customHeight="1" x14ac:dyDescent="0.25">
      <c r="B73" s="50" t="s">
        <v>63</v>
      </c>
      <c r="C73" s="51">
        <v>12</v>
      </c>
      <c r="D73" s="52" t="s">
        <v>202</v>
      </c>
      <c r="E73" s="53" t="s">
        <v>3</v>
      </c>
      <c r="F73" s="54" t="s">
        <v>60</v>
      </c>
      <c r="G73" s="54" t="s">
        <v>188</v>
      </c>
    </row>
    <row r="74" spans="2:7" ht="50.1" customHeight="1" x14ac:dyDescent="0.25">
      <c r="B74" s="50" t="s">
        <v>63</v>
      </c>
      <c r="C74" s="51">
        <v>12</v>
      </c>
      <c r="D74" s="52" t="s">
        <v>202</v>
      </c>
      <c r="E74" s="53" t="s">
        <v>4</v>
      </c>
      <c r="F74" s="54" t="s">
        <v>61</v>
      </c>
      <c r="G74" s="54" t="s">
        <v>187</v>
      </c>
    </row>
    <row r="75" spans="2:7" ht="50.1" customHeight="1" thickBot="1" x14ac:dyDescent="0.3">
      <c r="B75" s="55" t="s">
        <v>63</v>
      </c>
      <c r="C75" s="56">
        <v>12</v>
      </c>
      <c r="D75" s="57" t="s">
        <v>202</v>
      </c>
      <c r="E75" s="58" t="s">
        <v>5</v>
      </c>
      <c r="F75" s="59" t="s">
        <v>62</v>
      </c>
      <c r="G75" s="59" t="s">
        <v>152</v>
      </c>
    </row>
    <row r="76" spans="2:7" s="2" customFormat="1" ht="50.1" customHeight="1" x14ac:dyDescent="0.25">
      <c r="B76" s="45" t="s">
        <v>99</v>
      </c>
      <c r="C76" s="46">
        <v>13</v>
      </c>
      <c r="D76" s="47" t="s">
        <v>201</v>
      </c>
      <c r="E76" s="48" t="s">
        <v>3</v>
      </c>
      <c r="F76" s="49" t="s">
        <v>100</v>
      </c>
      <c r="G76" s="49" t="s">
        <v>198</v>
      </c>
    </row>
    <row r="77" spans="2:7" s="2" customFormat="1" ht="50.1" customHeight="1" x14ac:dyDescent="0.25">
      <c r="B77" s="50" t="s">
        <v>99</v>
      </c>
      <c r="C77" s="51">
        <v>13</v>
      </c>
      <c r="D77" s="52" t="s">
        <v>201</v>
      </c>
      <c r="E77" s="53" t="s">
        <v>4</v>
      </c>
      <c r="F77" s="54" t="s">
        <v>101</v>
      </c>
      <c r="G77" s="54" t="s">
        <v>199</v>
      </c>
    </row>
    <row r="78" spans="2:7" s="2" customFormat="1" ht="50.1" customHeight="1" x14ac:dyDescent="0.25">
      <c r="B78" s="50" t="s">
        <v>99</v>
      </c>
      <c r="C78" s="51">
        <v>13</v>
      </c>
      <c r="D78" s="52" t="s">
        <v>201</v>
      </c>
      <c r="E78" s="53" t="s">
        <v>5</v>
      </c>
      <c r="F78" s="54" t="s">
        <v>102</v>
      </c>
      <c r="G78" s="54" t="s">
        <v>161</v>
      </c>
    </row>
    <row r="79" spans="2:7" s="2" customFormat="1" ht="50.1" customHeight="1" x14ac:dyDescent="0.25">
      <c r="B79" s="50" t="s">
        <v>99</v>
      </c>
      <c r="C79" s="51">
        <v>13</v>
      </c>
      <c r="D79" s="52" t="s">
        <v>202</v>
      </c>
      <c r="E79" s="53" t="s">
        <v>3</v>
      </c>
      <c r="F79" s="54" t="s">
        <v>103</v>
      </c>
      <c r="G79" s="54" t="s">
        <v>162</v>
      </c>
    </row>
    <row r="80" spans="2:7" s="2" customFormat="1" ht="50.1" customHeight="1" x14ac:dyDescent="0.25">
      <c r="B80" s="50" t="s">
        <v>99</v>
      </c>
      <c r="C80" s="51">
        <v>13</v>
      </c>
      <c r="D80" s="52" t="s">
        <v>202</v>
      </c>
      <c r="E80" s="53" t="s">
        <v>4</v>
      </c>
      <c r="F80" s="54" t="s">
        <v>104</v>
      </c>
      <c r="G80" s="54" t="s">
        <v>163</v>
      </c>
    </row>
    <row r="81" spans="2:7" s="2" customFormat="1" ht="50.1" customHeight="1" thickBot="1" x14ac:dyDescent="0.3">
      <c r="B81" s="55" t="s">
        <v>99</v>
      </c>
      <c r="C81" s="56">
        <v>13</v>
      </c>
      <c r="D81" s="57" t="s">
        <v>202</v>
      </c>
      <c r="E81" s="58" t="s">
        <v>5</v>
      </c>
      <c r="F81" s="59" t="s">
        <v>105</v>
      </c>
      <c r="G81" s="59" t="s">
        <v>164</v>
      </c>
    </row>
    <row r="82" spans="2:7" ht="50.1" customHeight="1" x14ac:dyDescent="0.25">
      <c r="B82" s="45" t="s">
        <v>92</v>
      </c>
      <c r="C82" s="46">
        <v>14</v>
      </c>
      <c r="D82" s="47" t="s">
        <v>201</v>
      </c>
      <c r="E82" s="48" t="s">
        <v>3</v>
      </c>
      <c r="F82" s="49" t="s">
        <v>93</v>
      </c>
      <c r="G82" s="49" t="s">
        <v>194</v>
      </c>
    </row>
    <row r="83" spans="2:7" ht="50.1" customHeight="1" x14ac:dyDescent="0.25">
      <c r="B83" s="50" t="s">
        <v>92</v>
      </c>
      <c r="C83" s="51">
        <v>14</v>
      </c>
      <c r="D83" s="52" t="s">
        <v>201</v>
      </c>
      <c r="E83" s="53" t="s">
        <v>4</v>
      </c>
      <c r="F83" s="54" t="s">
        <v>94</v>
      </c>
      <c r="G83" s="54" t="s">
        <v>195</v>
      </c>
    </row>
    <row r="84" spans="2:7" ht="50.1" customHeight="1" x14ac:dyDescent="0.25">
      <c r="B84" s="50" t="s">
        <v>92</v>
      </c>
      <c r="C84" s="51">
        <v>14</v>
      </c>
      <c r="D84" s="52" t="s">
        <v>201</v>
      </c>
      <c r="E84" s="53" t="s">
        <v>5</v>
      </c>
      <c r="F84" s="54" t="s">
        <v>95</v>
      </c>
      <c r="G84" s="54" t="s">
        <v>95</v>
      </c>
    </row>
    <row r="85" spans="2:7" ht="50.1" customHeight="1" x14ac:dyDescent="0.25">
      <c r="B85" s="50" t="s">
        <v>92</v>
      </c>
      <c r="C85" s="51">
        <v>14</v>
      </c>
      <c r="D85" s="52" t="s">
        <v>202</v>
      </c>
      <c r="E85" s="53" t="s">
        <v>3</v>
      </c>
      <c r="F85" s="54" t="s">
        <v>96</v>
      </c>
      <c r="G85" s="54" t="s">
        <v>196</v>
      </c>
    </row>
    <row r="86" spans="2:7" ht="50.1" customHeight="1" x14ac:dyDescent="0.25">
      <c r="B86" s="50" t="s">
        <v>92</v>
      </c>
      <c r="C86" s="51">
        <v>14</v>
      </c>
      <c r="D86" s="52" t="s">
        <v>202</v>
      </c>
      <c r="E86" s="53" t="s">
        <v>4</v>
      </c>
      <c r="F86" s="54" t="s">
        <v>97</v>
      </c>
      <c r="G86" s="54" t="s">
        <v>197</v>
      </c>
    </row>
    <row r="87" spans="2:7" ht="50.1" customHeight="1" thickBot="1" x14ac:dyDescent="0.3">
      <c r="B87" s="55" t="s">
        <v>92</v>
      </c>
      <c r="C87" s="56">
        <v>14</v>
      </c>
      <c r="D87" s="57" t="s">
        <v>202</v>
      </c>
      <c r="E87" s="58" t="s">
        <v>5</v>
      </c>
      <c r="F87" s="59" t="s">
        <v>98</v>
      </c>
      <c r="G87" s="59" t="s">
        <v>98</v>
      </c>
    </row>
    <row r="88" spans="2:7" ht="50.1" customHeight="1" x14ac:dyDescent="0.25">
      <c r="B88" s="45" t="s">
        <v>10</v>
      </c>
      <c r="C88" s="46">
        <v>15</v>
      </c>
      <c r="D88" s="47" t="s">
        <v>201</v>
      </c>
      <c r="E88" s="48" t="s">
        <v>3</v>
      </c>
      <c r="F88" s="49" t="s">
        <v>42</v>
      </c>
      <c r="G88" s="49" t="s">
        <v>126</v>
      </c>
    </row>
    <row r="89" spans="2:7" ht="50.1" customHeight="1" x14ac:dyDescent="0.25">
      <c r="B89" s="50" t="s">
        <v>10</v>
      </c>
      <c r="C89" s="51">
        <v>15</v>
      </c>
      <c r="D89" s="52" t="s">
        <v>201</v>
      </c>
      <c r="E89" s="53" t="s">
        <v>4</v>
      </c>
      <c r="F89" s="54" t="s">
        <v>84</v>
      </c>
      <c r="G89" s="54" t="s">
        <v>127</v>
      </c>
    </row>
    <row r="90" spans="2:7" ht="50.1" customHeight="1" x14ac:dyDescent="0.25">
      <c r="B90" s="50" t="s">
        <v>10</v>
      </c>
      <c r="C90" s="51">
        <v>15</v>
      </c>
      <c r="D90" s="52" t="s">
        <v>201</v>
      </c>
      <c r="E90" s="53" t="s">
        <v>5</v>
      </c>
      <c r="F90" s="54" t="s">
        <v>83</v>
      </c>
      <c r="G90" s="54" t="s">
        <v>128</v>
      </c>
    </row>
    <row r="91" spans="2:7" ht="50.1" customHeight="1" x14ac:dyDescent="0.25">
      <c r="B91" s="50" t="s">
        <v>10</v>
      </c>
      <c r="C91" s="51">
        <v>15</v>
      </c>
      <c r="D91" s="52" t="s">
        <v>202</v>
      </c>
      <c r="E91" s="53" t="s">
        <v>3</v>
      </c>
      <c r="F91" s="54" t="s">
        <v>82</v>
      </c>
      <c r="G91" s="54" t="s">
        <v>126</v>
      </c>
    </row>
    <row r="92" spans="2:7" ht="50.1" customHeight="1" x14ac:dyDescent="0.25">
      <c r="B92" s="50" t="s">
        <v>10</v>
      </c>
      <c r="C92" s="51">
        <v>15</v>
      </c>
      <c r="D92" s="52" t="s">
        <v>202</v>
      </c>
      <c r="E92" s="53" t="s">
        <v>4</v>
      </c>
      <c r="F92" s="54" t="s">
        <v>85</v>
      </c>
      <c r="G92" s="54" t="s">
        <v>127</v>
      </c>
    </row>
    <row r="93" spans="2:7" ht="50.1" customHeight="1" thickBot="1" x14ac:dyDescent="0.3">
      <c r="B93" s="55" t="s">
        <v>10</v>
      </c>
      <c r="C93" s="56">
        <v>15</v>
      </c>
      <c r="D93" s="57" t="s">
        <v>202</v>
      </c>
      <c r="E93" s="58" t="s">
        <v>5</v>
      </c>
      <c r="F93" s="59" t="s">
        <v>43</v>
      </c>
      <c r="G93" s="59" t="s">
        <v>129</v>
      </c>
    </row>
    <row r="94" spans="2:7" ht="50.1" customHeight="1" x14ac:dyDescent="0.25">
      <c r="B94" s="45" t="s">
        <v>74</v>
      </c>
      <c r="C94" s="46">
        <v>16</v>
      </c>
      <c r="D94" s="47" t="s">
        <v>201</v>
      </c>
      <c r="E94" s="48" t="s">
        <v>3</v>
      </c>
      <c r="F94" s="49" t="s">
        <v>68</v>
      </c>
      <c r="G94" s="49" t="s">
        <v>189</v>
      </c>
    </row>
    <row r="95" spans="2:7" ht="50.1" customHeight="1" x14ac:dyDescent="0.25">
      <c r="B95" s="50" t="s">
        <v>74</v>
      </c>
      <c r="C95" s="51">
        <v>16</v>
      </c>
      <c r="D95" s="52" t="s">
        <v>201</v>
      </c>
      <c r="E95" s="53" t="s">
        <v>4</v>
      </c>
      <c r="F95" s="54" t="s">
        <v>69</v>
      </c>
      <c r="G95" s="54" t="s">
        <v>190</v>
      </c>
    </row>
    <row r="96" spans="2:7" ht="50.1" customHeight="1" x14ac:dyDescent="0.25">
      <c r="B96" s="50" t="s">
        <v>74</v>
      </c>
      <c r="C96" s="51">
        <v>16</v>
      </c>
      <c r="D96" s="52" t="s">
        <v>201</v>
      </c>
      <c r="E96" s="53" t="s">
        <v>5</v>
      </c>
      <c r="F96" s="54" t="s">
        <v>70</v>
      </c>
      <c r="G96" s="54" t="s">
        <v>155</v>
      </c>
    </row>
    <row r="97" spans="2:7" ht="50.1" customHeight="1" x14ac:dyDescent="0.25">
      <c r="B97" s="50" t="s">
        <v>74</v>
      </c>
      <c r="C97" s="51">
        <v>16</v>
      </c>
      <c r="D97" s="52" t="s">
        <v>202</v>
      </c>
      <c r="E97" s="53" t="s">
        <v>3</v>
      </c>
      <c r="F97" s="54" t="s">
        <v>71</v>
      </c>
      <c r="G97" s="54" t="s">
        <v>191</v>
      </c>
    </row>
    <row r="98" spans="2:7" ht="50.1" customHeight="1" x14ac:dyDescent="0.25">
      <c r="B98" s="50" t="s">
        <v>74</v>
      </c>
      <c r="C98" s="51">
        <v>16</v>
      </c>
      <c r="D98" s="52" t="s">
        <v>202</v>
      </c>
      <c r="E98" s="53" t="s">
        <v>4</v>
      </c>
      <c r="F98" s="54" t="s">
        <v>72</v>
      </c>
      <c r="G98" s="54" t="s">
        <v>72</v>
      </c>
    </row>
    <row r="99" spans="2:7" ht="50.1" customHeight="1" thickBot="1" x14ac:dyDescent="0.3">
      <c r="B99" s="55" t="s">
        <v>74</v>
      </c>
      <c r="C99" s="56">
        <v>16</v>
      </c>
      <c r="D99" s="57" t="s">
        <v>202</v>
      </c>
      <c r="E99" s="58" t="s">
        <v>5</v>
      </c>
      <c r="F99" s="59" t="s">
        <v>73</v>
      </c>
      <c r="G99" s="59" t="s">
        <v>156</v>
      </c>
    </row>
  </sheetData>
  <sheetProtection algorithmName="SHA-512" hashValue="NPn5+hguXOuKal5KdNBge7M7NhZy/VPUVTaKHvYTOd2ydY+fXgsCqn2geHVc4hT8EKsploYgO9hya68AyfIeZw==" saltValue="spymc2qnNy7bRXwqa/GFNQ==" spinCount="100000" sheet="1" objects="1" scenarios="1"/>
  <sortState xmlns:xlrd2="http://schemas.microsoft.com/office/spreadsheetml/2017/richdata2" ref="B4:G99">
    <sortCondition ref="C4:C99"/>
  </sortState>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E0EE7-A6A7-41A1-93DB-C9ACF279AEB5}">
  <sheetPr codeName="Feuil2"/>
  <dimension ref="B1:D18"/>
  <sheetViews>
    <sheetView zoomScale="85" zoomScaleNormal="85" workbookViewId="0">
      <selection activeCell="F22" sqref="F22"/>
    </sheetView>
  </sheetViews>
  <sheetFormatPr baseColWidth="10" defaultRowHeight="15" x14ac:dyDescent="0.25"/>
  <cols>
    <col min="1" max="1" width="11.42578125" style="1"/>
    <col min="2" max="2" width="5.28515625" style="2" customWidth="1"/>
    <col min="3" max="3" width="40.140625" style="1" bestFit="1" customWidth="1"/>
    <col min="4" max="4" width="13.140625" style="1" customWidth="1"/>
    <col min="5" max="16384" width="11.42578125" style="1"/>
  </cols>
  <sheetData>
    <row r="1" spans="2:4" ht="15.75" thickBot="1" x14ac:dyDescent="0.3"/>
    <row r="2" spans="2:4" ht="15.75" thickBot="1" x14ac:dyDescent="0.3">
      <c r="B2" s="12" t="s">
        <v>169</v>
      </c>
      <c r="C2" s="8" t="s">
        <v>2</v>
      </c>
      <c r="D2" s="3"/>
    </row>
    <row r="3" spans="2:4" x14ac:dyDescent="0.25">
      <c r="B3" s="5">
        <v>1</v>
      </c>
      <c r="C3" s="9" t="s">
        <v>6</v>
      </c>
      <c r="D3" s="4"/>
    </row>
    <row r="4" spans="2:4" x14ac:dyDescent="0.25">
      <c r="B4" s="6">
        <v>2</v>
      </c>
      <c r="C4" s="10" t="s">
        <v>14</v>
      </c>
      <c r="D4" s="4"/>
    </row>
    <row r="5" spans="2:4" x14ac:dyDescent="0.25">
      <c r="B5" s="6">
        <v>3</v>
      </c>
      <c r="C5" s="10" t="s">
        <v>12</v>
      </c>
      <c r="D5" s="4"/>
    </row>
    <row r="6" spans="2:4" x14ac:dyDescent="0.25">
      <c r="B6" s="6">
        <v>4</v>
      </c>
      <c r="C6" s="10" t="s">
        <v>11</v>
      </c>
      <c r="D6" s="4"/>
    </row>
    <row r="7" spans="2:4" x14ac:dyDescent="0.25">
      <c r="B7" s="6">
        <v>5</v>
      </c>
      <c r="C7" s="10" t="s">
        <v>7</v>
      </c>
      <c r="D7" s="4"/>
    </row>
    <row r="8" spans="2:4" x14ac:dyDescent="0.25">
      <c r="B8" s="6">
        <v>6</v>
      </c>
      <c r="C8" s="10" t="s">
        <v>15</v>
      </c>
      <c r="D8" s="4"/>
    </row>
    <row r="9" spans="2:4" ht="15" customHeight="1" x14ac:dyDescent="0.25">
      <c r="B9" s="6">
        <v>7</v>
      </c>
      <c r="C9" s="10" t="s">
        <v>8</v>
      </c>
      <c r="D9" s="4"/>
    </row>
    <row r="10" spans="2:4" ht="15" customHeight="1" x14ac:dyDescent="0.25">
      <c r="B10" s="6">
        <v>8</v>
      </c>
      <c r="C10" s="10" t="s">
        <v>67</v>
      </c>
      <c r="D10" s="4"/>
    </row>
    <row r="11" spans="2:4" x14ac:dyDescent="0.25">
      <c r="B11" s="6">
        <v>9</v>
      </c>
      <c r="C11" s="10" t="s">
        <v>13</v>
      </c>
      <c r="D11" s="4"/>
    </row>
    <row r="12" spans="2:4" x14ac:dyDescent="0.25">
      <c r="B12" s="6">
        <v>10</v>
      </c>
      <c r="C12" s="10" t="s">
        <v>9</v>
      </c>
      <c r="D12" s="4"/>
    </row>
    <row r="13" spans="2:4" x14ac:dyDescent="0.25">
      <c r="B13" s="6">
        <v>11</v>
      </c>
      <c r="C13" s="10" t="s">
        <v>86</v>
      </c>
      <c r="D13" s="4"/>
    </row>
    <row r="14" spans="2:4" x14ac:dyDescent="0.25">
      <c r="B14" s="6">
        <v>12</v>
      </c>
      <c r="C14" s="10" t="s">
        <v>63</v>
      </c>
      <c r="D14" s="4"/>
    </row>
    <row r="15" spans="2:4" x14ac:dyDescent="0.25">
      <c r="B15" s="6">
        <v>13</v>
      </c>
      <c r="C15" s="10" t="s">
        <v>99</v>
      </c>
      <c r="D15" s="4"/>
    </row>
    <row r="16" spans="2:4" x14ac:dyDescent="0.25">
      <c r="B16" s="6">
        <v>14</v>
      </c>
      <c r="C16" s="10" t="s">
        <v>92</v>
      </c>
      <c r="D16" s="4"/>
    </row>
    <row r="17" spans="2:4" x14ac:dyDescent="0.25">
      <c r="B17" s="6">
        <v>15</v>
      </c>
      <c r="C17" s="10" t="s">
        <v>10</v>
      </c>
      <c r="D17" s="4"/>
    </row>
    <row r="18" spans="2:4" ht="15.75" thickBot="1" x14ac:dyDescent="0.3">
      <c r="B18" s="7">
        <v>16</v>
      </c>
      <c r="C18" s="11" t="s">
        <v>74</v>
      </c>
      <c r="D18" s="4"/>
    </row>
  </sheetData>
  <sheetProtection algorithmName="SHA-512" hashValue="s6Z9ulYVJMcUwbpcdC3FjtV/DSWFg+3d20QT68fRxBAzBoDStkC6yBjeUEjel3WL5BnEF1sc2TiAsxwpnmMWlQ==" saltValue="DRcMp9ltxiAC/vb/dATytA==" spinCount="100000"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6E72B-5115-4863-A2AB-4354A4705FC4}">
  <sheetPr codeName="Feuil3"/>
  <dimension ref="B1:Z68"/>
  <sheetViews>
    <sheetView zoomScale="40" zoomScaleNormal="40" workbookViewId="0">
      <selection activeCell="O10" sqref="O10"/>
    </sheetView>
  </sheetViews>
  <sheetFormatPr baseColWidth="10" defaultRowHeight="15" x14ac:dyDescent="0.25"/>
  <cols>
    <col min="1" max="1" width="11.42578125" style="1"/>
    <col min="2" max="2" width="46.42578125" style="1" customWidth="1"/>
    <col min="3" max="4" width="11.42578125" style="1"/>
    <col min="5" max="5" width="27" style="1" customWidth="1"/>
    <col min="6" max="6" width="11.5703125" style="1" bestFit="1" customWidth="1"/>
    <col min="7" max="7" width="12" style="1" bestFit="1" customWidth="1"/>
    <col min="8" max="8" width="32.85546875" style="1" customWidth="1"/>
    <col min="9" max="9" width="11.42578125" style="1" customWidth="1"/>
    <col min="10" max="10" width="14.28515625" style="1" customWidth="1"/>
    <col min="11" max="11" width="75.140625" style="63" customWidth="1"/>
    <col min="12" max="12" width="95.28515625" style="1" customWidth="1"/>
    <col min="13" max="16384" width="11.42578125" style="1"/>
  </cols>
  <sheetData>
    <row r="1" spans="2:26" ht="99.95" customHeight="1" thickBot="1" x14ac:dyDescent="0.3">
      <c r="Z1" s="64"/>
    </row>
    <row r="2" spans="2:26" ht="20.100000000000001" customHeight="1" thickBot="1" x14ac:dyDescent="0.3">
      <c r="B2" s="65" t="s">
        <v>19</v>
      </c>
      <c r="C2" s="40" t="s">
        <v>2</v>
      </c>
      <c r="D2" s="66"/>
      <c r="E2" s="60" t="s">
        <v>18</v>
      </c>
      <c r="F2" s="61" t="s">
        <v>17</v>
      </c>
      <c r="G2" s="61" t="s">
        <v>200</v>
      </c>
      <c r="H2" s="62" t="s">
        <v>20</v>
      </c>
      <c r="I2" s="79" t="s">
        <v>2</v>
      </c>
      <c r="J2" s="70" t="s">
        <v>0</v>
      </c>
      <c r="K2" s="71" t="s">
        <v>1</v>
      </c>
      <c r="L2" s="72" t="s">
        <v>21</v>
      </c>
    </row>
    <row r="3" spans="2:26" ht="69.95" customHeight="1" x14ac:dyDescent="0.25">
      <c r="B3" s="49" t="s">
        <v>6</v>
      </c>
      <c r="C3" s="5">
        <v>1</v>
      </c>
      <c r="D3" s="4"/>
      <c r="E3" s="13"/>
      <c r="F3" s="13"/>
      <c r="G3" s="14"/>
      <c r="H3" s="15"/>
      <c r="I3" s="80" t="str">
        <f>IFERROR(VLOOKUP(H3,$B$3:$C$18,2,FALSE),"")</f>
        <v/>
      </c>
      <c r="J3" s="25"/>
      <c r="K3" s="73" t="str" cm="1">
        <f t="array" ref="K3">IFERROR(SUBSTITUTE(_xlfn._xlws.FILTER(Base!$F$4:$F$99, (Base!$C$4:$C$99=I3)*(Base!$D$4:$D$99=F3)*(Base!$E$4:$E$99=J3)),"[Prénom]",E3),"")</f>
        <v/>
      </c>
      <c r="L3" s="22"/>
      <c r="P3" s="64"/>
    </row>
    <row r="4" spans="2:26" ht="69.95" customHeight="1" x14ac:dyDescent="0.25">
      <c r="B4" s="54" t="s">
        <v>14</v>
      </c>
      <c r="C4" s="6">
        <v>2</v>
      </c>
      <c r="D4" s="4"/>
      <c r="E4" s="16"/>
      <c r="F4" s="16"/>
      <c r="G4" s="17"/>
      <c r="H4" s="18"/>
      <c r="I4" s="81" t="str">
        <f t="shared" ref="I4:I32" si="0">IFERROR(VLOOKUP(H4,$B$3:$C$18,2,FALSE),"")</f>
        <v/>
      </c>
      <c r="J4" s="26"/>
      <c r="K4" s="74" t="str" cm="1">
        <f t="array" ref="K4">IFERROR(SUBSTITUTE(_xlfn._xlws.FILTER(Base!$F$4:$F$99, (Base!$C$4:$C$99=I4)*(Base!$D$4:$D$99=F4)*(Base!$E$4:$E$99=J4)),"[Prénom]",E4),"")</f>
        <v/>
      </c>
      <c r="L4" s="23"/>
    </row>
    <row r="5" spans="2:26" ht="69.95" customHeight="1" x14ac:dyDescent="0.25">
      <c r="B5" s="54" t="s">
        <v>12</v>
      </c>
      <c r="C5" s="6">
        <v>3</v>
      </c>
      <c r="D5" s="4"/>
      <c r="E5" s="16"/>
      <c r="F5" s="16"/>
      <c r="G5" s="17"/>
      <c r="H5" s="18"/>
      <c r="I5" s="81" t="str">
        <f t="shared" si="0"/>
        <v/>
      </c>
      <c r="J5" s="26"/>
      <c r="K5" s="74" t="str" cm="1">
        <f t="array" ref="K5">IFERROR(SUBSTITUTE(_xlfn._xlws.FILTER(Base!$F$4:$F$99, (Base!$C$4:$C$99=I5)*(Base!$D$4:$D$99=F5)*(Base!$E$4:$E$99=J5)),"[Prénom]",E5),"")</f>
        <v/>
      </c>
      <c r="L5" s="23"/>
    </row>
    <row r="6" spans="2:26" ht="69.95" customHeight="1" x14ac:dyDescent="0.25">
      <c r="B6" s="54" t="s">
        <v>11</v>
      </c>
      <c r="C6" s="6">
        <v>4</v>
      </c>
      <c r="D6" s="4"/>
      <c r="E6" s="16"/>
      <c r="F6" s="16"/>
      <c r="G6" s="17"/>
      <c r="H6" s="18"/>
      <c r="I6" s="81" t="str">
        <f t="shared" si="0"/>
        <v/>
      </c>
      <c r="J6" s="26"/>
      <c r="K6" s="74" t="str" cm="1">
        <f t="array" ref="K6">IFERROR(SUBSTITUTE(_xlfn._xlws.FILTER(Base!$F$4:$F$99, (Base!$C$4:$C$99=I6)*(Base!$D$4:$D$99=F6)*(Base!$E$4:$E$99=J6)),"[Prénom]",E6),"")</f>
        <v/>
      </c>
      <c r="L6" s="23"/>
    </row>
    <row r="7" spans="2:26" ht="69.95" customHeight="1" x14ac:dyDescent="0.25">
      <c r="B7" s="54" t="s">
        <v>7</v>
      </c>
      <c r="C7" s="6">
        <v>5</v>
      </c>
      <c r="D7" s="4"/>
      <c r="E7" s="16"/>
      <c r="F7" s="16"/>
      <c r="G7" s="17"/>
      <c r="H7" s="18"/>
      <c r="I7" s="81" t="str">
        <f t="shared" si="0"/>
        <v/>
      </c>
      <c r="J7" s="26"/>
      <c r="K7" s="74" t="str" cm="1">
        <f t="array" ref="K7">IFERROR(SUBSTITUTE(_xlfn._xlws.FILTER(Base!$F$4:$F$99, (Base!$C$4:$C$99=I7)*(Base!$D$4:$D$99=F7)*(Base!$E$4:$E$99=J7)),"[Prénom]",E7),"")</f>
        <v/>
      </c>
      <c r="L7" s="23"/>
    </row>
    <row r="8" spans="2:26" ht="69.95" customHeight="1" x14ac:dyDescent="0.25">
      <c r="B8" s="54" t="s">
        <v>15</v>
      </c>
      <c r="C8" s="6">
        <v>6</v>
      </c>
      <c r="D8" s="4"/>
      <c r="E8" s="16"/>
      <c r="F8" s="16"/>
      <c r="G8" s="17"/>
      <c r="H8" s="18"/>
      <c r="I8" s="81" t="str">
        <f t="shared" si="0"/>
        <v/>
      </c>
      <c r="J8" s="26"/>
      <c r="K8" s="74" t="str" cm="1">
        <f t="array" ref="K8">IFERROR(SUBSTITUTE(_xlfn._xlws.FILTER(Base!$F$4:$F$99, (Base!$C$4:$C$99=I8)*(Base!$D$4:$D$99=F8)*(Base!$E$4:$E$99=J8)),"[Prénom]",E8),"")</f>
        <v/>
      </c>
      <c r="L8" s="23"/>
    </row>
    <row r="9" spans="2:26" ht="69.95" customHeight="1" x14ac:dyDescent="0.25">
      <c r="B9" s="54" t="s">
        <v>8</v>
      </c>
      <c r="C9" s="6">
        <v>7</v>
      </c>
      <c r="D9" s="4"/>
      <c r="E9" s="16"/>
      <c r="F9" s="16"/>
      <c r="G9" s="17"/>
      <c r="H9" s="18"/>
      <c r="I9" s="81" t="str">
        <f t="shared" si="0"/>
        <v/>
      </c>
      <c r="J9" s="26"/>
      <c r="K9" s="74" t="str" cm="1">
        <f t="array" ref="K9">IFERROR(SUBSTITUTE(_xlfn._xlws.FILTER(Base!$F$4:$F$99, (Base!$C$4:$C$99=I9)*(Base!$D$4:$D$99=F9)*(Base!$E$4:$E$99=J9)),"[Prénom]",E9),"")</f>
        <v/>
      </c>
      <c r="L9" s="23"/>
    </row>
    <row r="10" spans="2:26" ht="69.95" customHeight="1" x14ac:dyDescent="0.25">
      <c r="B10" s="54" t="s">
        <v>67</v>
      </c>
      <c r="C10" s="6">
        <v>8</v>
      </c>
      <c r="D10" s="4"/>
      <c r="E10" s="16"/>
      <c r="F10" s="16"/>
      <c r="G10" s="17"/>
      <c r="H10" s="18"/>
      <c r="I10" s="81" t="str">
        <f t="shared" si="0"/>
        <v/>
      </c>
      <c r="J10" s="26"/>
      <c r="K10" s="74" t="str" cm="1">
        <f t="array" ref="K10">IFERROR(SUBSTITUTE(_xlfn._xlws.FILTER(Base!$F$4:$F$99, (Base!$C$4:$C$99=I10)*(Base!$D$4:$D$99=F10)*(Base!$E$4:$E$99=J10)),"[Prénom]",E10),"")</f>
        <v/>
      </c>
      <c r="L10" s="23"/>
    </row>
    <row r="11" spans="2:26" ht="69.95" customHeight="1" x14ac:dyDescent="0.25">
      <c r="B11" s="54" t="s">
        <v>13</v>
      </c>
      <c r="C11" s="6">
        <v>9</v>
      </c>
      <c r="D11" s="4"/>
      <c r="E11" s="16"/>
      <c r="F11" s="16"/>
      <c r="G11" s="17"/>
      <c r="H11" s="18"/>
      <c r="I11" s="81" t="str">
        <f t="shared" si="0"/>
        <v/>
      </c>
      <c r="J11" s="26"/>
      <c r="K11" s="74" t="str" cm="1">
        <f t="array" ref="K11">IFERROR(SUBSTITUTE(_xlfn._xlws.FILTER(Base!$F$4:$F$99, (Base!$C$4:$C$99=I11)*(Base!$D$4:$D$99=F11)*(Base!$E$4:$E$99=J11)),"[Prénom]",E11),"")</f>
        <v/>
      </c>
      <c r="L11" s="23"/>
    </row>
    <row r="12" spans="2:26" ht="69.95" customHeight="1" x14ac:dyDescent="0.25">
      <c r="B12" s="54" t="s">
        <v>9</v>
      </c>
      <c r="C12" s="6">
        <v>10</v>
      </c>
      <c r="D12" s="4"/>
      <c r="E12" s="16"/>
      <c r="F12" s="16"/>
      <c r="G12" s="17"/>
      <c r="H12" s="18"/>
      <c r="I12" s="81" t="str">
        <f t="shared" si="0"/>
        <v/>
      </c>
      <c r="J12" s="26"/>
      <c r="K12" s="74" t="str" cm="1">
        <f t="array" ref="K12">IFERROR(SUBSTITUTE(_xlfn._xlws.FILTER(Base!$F$4:$F$99, (Base!$C$4:$C$99=I12)*(Base!$D$4:$D$99=F12)*(Base!$E$4:$E$99=J12)),"[Prénom]",E12),"")</f>
        <v/>
      </c>
      <c r="L12" s="23"/>
    </row>
    <row r="13" spans="2:26" ht="69.95" customHeight="1" x14ac:dyDescent="0.25">
      <c r="B13" s="54" t="s">
        <v>86</v>
      </c>
      <c r="C13" s="6">
        <v>11</v>
      </c>
      <c r="D13" s="4"/>
      <c r="E13" s="16"/>
      <c r="F13" s="16"/>
      <c r="G13" s="17"/>
      <c r="H13" s="18"/>
      <c r="I13" s="81" t="str">
        <f t="shared" si="0"/>
        <v/>
      </c>
      <c r="J13" s="26"/>
      <c r="K13" s="74" t="str" cm="1">
        <f t="array" ref="K13">IFERROR(SUBSTITUTE(_xlfn._xlws.FILTER(Base!$F$4:$F$99, (Base!$C$4:$C$99=I13)*(Base!$D$4:$D$99=F13)*(Base!$E$4:$E$99=J13)),"[Prénom]",E13),"")</f>
        <v/>
      </c>
      <c r="L13" s="23"/>
    </row>
    <row r="14" spans="2:26" ht="69.95" customHeight="1" x14ac:dyDescent="0.25">
      <c r="B14" s="54" t="s">
        <v>63</v>
      </c>
      <c r="C14" s="6">
        <v>12</v>
      </c>
      <c r="D14" s="4"/>
      <c r="E14" s="16"/>
      <c r="F14" s="16"/>
      <c r="G14" s="17"/>
      <c r="H14" s="18"/>
      <c r="I14" s="81" t="str">
        <f t="shared" si="0"/>
        <v/>
      </c>
      <c r="J14" s="26"/>
      <c r="K14" s="74" t="str" cm="1">
        <f t="array" ref="K14">IFERROR(SUBSTITUTE(_xlfn._xlws.FILTER(Base!$F$4:$F$99, (Base!$C$4:$C$99=I14)*(Base!$D$4:$D$99=F14)*(Base!$E$4:$E$99=J14)),"[Prénom]",E14),"")</f>
        <v/>
      </c>
      <c r="L14" s="23"/>
    </row>
    <row r="15" spans="2:26" ht="69.95" customHeight="1" x14ac:dyDescent="0.25">
      <c r="B15" s="54" t="s">
        <v>99</v>
      </c>
      <c r="C15" s="6">
        <v>13</v>
      </c>
      <c r="D15" s="4"/>
      <c r="E15" s="16"/>
      <c r="F15" s="16"/>
      <c r="G15" s="17"/>
      <c r="H15" s="18"/>
      <c r="I15" s="81" t="str">
        <f t="shared" si="0"/>
        <v/>
      </c>
      <c r="J15" s="26"/>
      <c r="K15" s="74" t="str" cm="1">
        <f t="array" ref="K15">IFERROR(SUBSTITUTE(_xlfn._xlws.FILTER(Base!$F$4:$F$99, (Base!$C$4:$C$99=I15)*(Base!$D$4:$D$99=F15)*(Base!$E$4:$E$99=J15)),"[Prénom]",E15),"")</f>
        <v/>
      </c>
      <c r="L15" s="23"/>
    </row>
    <row r="16" spans="2:26" ht="69.95" customHeight="1" x14ac:dyDescent="0.25">
      <c r="B16" s="54" t="s">
        <v>92</v>
      </c>
      <c r="C16" s="6">
        <v>14</v>
      </c>
      <c r="D16" s="4"/>
      <c r="E16" s="16"/>
      <c r="F16" s="16"/>
      <c r="G16" s="17"/>
      <c r="H16" s="18"/>
      <c r="I16" s="81" t="str">
        <f t="shared" si="0"/>
        <v/>
      </c>
      <c r="J16" s="26"/>
      <c r="K16" s="74" t="str" cm="1">
        <f t="array" ref="K16">IFERROR(SUBSTITUTE(_xlfn._xlws.FILTER(Base!$F$4:$F$99, (Base!$C$4:$C$99=I16)*(Base!$D$4:$D$99=F16)*(Base!$E$4:$E$99=J16)),"[Prénom]",E16),"")</f>
        <v/>
      </c>
      <c r="L16" s="23"/>
    </row>
    <row r="17" spans="2:12" ht="69.95" customHeight="1" x14ac:dyDescent="0.25">
      <c r="B17" s="54" t="s">
        <v>10</v>
      </c>
      <c r="C17" s="6">
        <v>15</v>
      </c>
      <c r="D17" s="4"/>
      <c r="E17" s="16"/>
      <c r="F17" s="16"/>
      <c r="G17" s="17"/>
      <c r="H17" s="18"/>
      <c r="I17" s="81" t="str">
        <f t="shared" si="0"/>
        <v/>
      </c>
      <c r="J17" s="26"/>
      <c r="K17" s="74" t="str" cm="1">
        <f t="array" ref="K17">IFERROR(SUBSTITUTE(_xlfn._xlws.FILTER(Base!$F$4:$F$99, (Base!$C$4:$C$99=I17)*(Base!$D$4:$D$99=F17)*(Base!$E$4:$E$99=J17)),"[Prénom]",E17),"")</f>
        <v/>
      </c>
      <c r="L17" s="23"/>
    </row>
    <row r="18" spans="2:12" ht="69.95" customHeight="1" thickBot="1" x14ac:dyDescent="0.3">
      <c r="B18" s="59" t="s">
        <v>74</v>
      </c>
      <c r="C18" s="7">
        <v>16</v>
      </c>
      <c r="D18" s="4"/>
      <c r="E18" s="16"/>
      <c r="F18" s="16"/>
      <c r="G18" s="17"/>
      <c r="H18" s="18"/>
      <c r="I18" s="81" t="str">
        <f t="shared" si="0"/>
        <v/>
      </c>
      <c r="J18" s="26"/>
      <c r="K18" s="74" t="str" cm="1">
        <f t="array" ref="K18">IFERROR(SUBSTITUTE(_xlfn._xlws.FILTER(Base!$F$4:$F$99, (Base!$C$4:$C$99=I18)*(Base!$D$4:$D$99=F18)*(Base!$E$4:$E$99=J18)),"[Prénom]",E18),"")</f>
        <v/>
      </c>
      <c r="L18" s="23"/>
    </row>
    <row r="19" spans="2:12" ht="69.95" customHeight="1" x14ac:dyDescent="0.25">
      <c r="D19" s="66"/>
      <c r="E19" s="16"/>
      <c r="F19" s="16"/>
      <c r="G19" s="17"/>
      <c r="H19" s="18"/>
      <c r="I19" s="81" t="str">
        <f t="shared" si="0"/>
        <v/>
      </c>
      <c r="J19" s="26"/>
      <c r="K19" s="74" t="str" cm="1">
        <f t="array" ref="K19">IFERROR(SUBSTITUTE(_xlfn._xlws.FILTER(Base!$F$4:$F$99, (Base!$C$4:$C$99=I19)*(Base!$D$4:$D$99=F19)*(Base!$E$4:$E$99=J19)),"[Prénom]",E19),"")</f>
        <v/>
      </c>
      <c r="L19" s="23"/>
    </row>
    <row r="20" spans="2:12" ht="69.95" customHeight="1" x14ac:dyDescent="0.25">
      <c r="D20" s="66"/>
      <c r="E20" s="16"/>
      <c r="F20" s="16"/>
      <c r="G20" s="17"/>
      <c r="H20" s="18"/>
      <c r="I20" s="81" t="str">
        <f t="shared" si="0"/>
        <v/>
      </c>
      <c r="J20" s="26"/>
      <c r="K20" s="74" t="str" cm="1">
        <f t="array" ref="K20">IFERROR(SUBSTITUTE(_xlfn._xlws.FILTER(Base!$F$4:$F$99, (Base!$C$4:$C$99=I20)*(Base!$D$4:$D$99=F20)*(Base!$E$4:$E$99=J20)),"[Prénom]",E20),"")</f>
        <v/>
      </c>
      <c r="L20" s="23"/>
    </row>
    <row r="21" spans="2:12" ht="69.95" customHeight="1" x14ac:dyDescent="0.25">
      <c r="D21" s="66"/>
      <c r="E21" s="16"/>
      <c r="F21" s="16"/>
      <c r="G21" s="17"/>
      <c r="H21" s="18"/>
      <c r="I21" s="81" t="str">
        <f t="shared" si="0"/>
        <v/>
      </c>
      <c r="J21" s="26"/>
      <c r="K21" s="74" t="str" cm="1">
        <f t="array" ref="K21">IFERROR(SUBSTITUTE(_xlfn._xlws.FILTER(Base!$F$4:$F$99, (Base!$C$4:$C$99=I21)*(Base!$D$4:$D$99=F21)*(Base!$E$4:$E$99=J21)),"[Prénom]",E21),"")</f>
        <v/>
      </c>
      <c r="L21" s="23"/>
    </row>
    <row r="22" spans="2:12" ht="69.95" customHeight="1" x14ac:dyDescent="0.25">
      <c r="D22" s="66"/>
      <c r="E22" s="16"/>
      <c r="F22" s="16"/>
      <c r="G22" s="17"/>
      <c r="H22" s="18"/>
      <c r="I22" s="81" t="str">
        <f t="shared" si="0"/>
        <v/>
      </c>
      <c r="J22" s="26"/>
      <c r="K22" s="74" t="str" cm="1">
        <f t="array" ref="K22">IFERROR(SUBSTITUTE(_xlfn._xlws.FILTER(Base!$F$4:$F$99, (Base!$C$4:$C$99=I22)*(Base!$D$4:$D$99=F22)*(Base!$E$4:$E$99=J22)),"[Prénom]",E22),"")</f>
        <v/>
      </c>
      <c r="L22" s="23"/>
    </row>
    <row r="23" spans="2:12" ht="69.95" customHeight="1" x14ac:dyDescent="0.25">
      <c r="D23" s="66"/>
      <c r="E23" s="16"/>
      <c r="F23" s="16"/>
      <c r="G23" s="17"/>
      <c r="H23" s="18"/>
      <c r="I23" s="81" t="str">
        <f t="shared" si="0"/>
        <v/>
      </c>
      <c r="J23" s="26"/>
      <c r="K23" s="74" t="str" cm="1">
        <f t="array" ref="K23">IFERROR(SUBSTITUTE(_xlfn._xlws.FILTER(Base!$F$4:$F$99, (Base!$C$4:$C$99=I23)*(Base!$D$4:$D$99=F23)*(Base!$E$4:$E$99=J23)),"[Prénom]",E23),"")</f>
        <v/>
      </c>
      <c r="L23" s="23"/>
    </row>
    <row r="24" spans="2:12" ht="69.95" customHeight="1" x14ac:dyDescent="0.25">
      <c r="D24" s="66"/>
      <c r="E24" s="16"/>
      <c r="F24" s="16"/>
      <c r="G24" s="17"/>
      <c r="H24" s="18"/>
      <c r="I24" s="81" t="str">
        <f t="shared" si="0"/>
        <v/>
      </c>
      <c r="J24" s="26"/>
      <c r="K24" s="74" t="str" cm="1">
        <f t="array" ref="K24">IFERROR(SUBSTITUTE(_xlfn._xlws.FILTER(Base!$F$4:$F$99, (Base!$C$4:$C$99=I24)*(Base!$D$4:$D$99=F24)*(Base!$E$4:$E$99=J24)),"[Prénom]",E24),"")</f>
        <v/>
      </c>
      <c r="L24" s="23"/>
    </row>
    <row r="25" spans="2:12" ht="69.95" customHeight="1" x14ac:dyDescent="0.25">
      <c r="D25" s="66"/>
      <c r="E25" s="16"/>
      <c r="F25" s="16"/>
      <c r="G25" s="17"/>
      <c r="H25" s="18"/>
      <c r="I25" s="81" t="str">
        <f t="shared" si="0"/>
        <v/>
      </c>
      <c r="J25" s="26"/>
      <c r="K25" s="74" t="str" cm="1">
        <f t="array" ref="K25">IFERROR(SUBSTITUTE(_xlfn._xlws.FILTER(Base!$F$4:$F$99, (Base!$C$4:$C$99=I25)*(Base!$D$4:$D$99=F25)*(Base!$E$4:$E$99=J25)),"[Prénom]",E25),"")</f>
        <v/>
      </c>
      <c r="L25" s="23"/>
    </row>
    <row r="26" spans="2:12" ht="69.95" customHeight="1" x14ac:dyDescent="0.25">
      <c r="D26" s="66"/>
      <c r="E26" s="16"/>
      <c r="F26" s="16"/>
      <c r="G26" s="17"/>
      <c r="H26" s="18"/>
      <c r="I26" s="81" t="str">
        <f t="shared" si="0"/>
        <v/>
      </c>
      <c r="J26" s="26"/>
      <c r="K26" s="74" t="str" cm="1">
        <f t="array" ref="K26">IFERROR(SUBSTITUTE(_xlfn._xlws.FILTER(Base!$F$4:$F$99, (Base!$C$4:$C$99=I26)*(Base!$D$4:$D$99=F26)*(Base!$E$4:$E$99=J26)),"[Prénom]",E26),"")</f>
        <v/>
      </c>
      <c r="L26" s="23"/>
    </row>
    <row r="27" spans="2:12" ht="69.95" customHeight="1" x14ac:dyDescent="0.25">
      <c r="D27" s="66"/>
      <c r="E27" s="16"/>
      <c r="F27" s="16"/>
      <c r="G27" s="17"/>
      <c r="H27" s="18"/>
      <c r="I27" s="81" t="str">
        <f t="shared" si="0"/>
        <v/>
      </c>
      <c r="J27" s="26"/>
      <c r="K27" s="74" t="str" cm="1">
        <f t="array" ref="K27">IFERROR(SUBSTITUTE(_xlfn._xlws.FILTER(Base!$F$4:$F$99, (Base!$C$4:$C$99=I27)*(Base!$D$4:$D$99=F27)*(Base!$E$4:$E$99=J27)),"[Prénom]",E27),"")</f>
        <v/>
      </c>
      <c r="L27" s="23"/>
    </row>
    <row r="28" spans="2:12" ht="69.95" customHeight="1" x14ac:dyDescent="0.25">
      <c r="D28" s="66"/>
      <c r="E28" s="16"/>
      <c r="F28" s="16"/>
      <c r="G28" s="17"/>
      <c r="H28" s="18"/>
      <c r="I28" s="81" t="str">
        <f t="shared" si="0"/>
        <v/>
      </c>
      <c r="J28" s="26"/>
      <c r="K28" s="74" t="str" cm="1">
        <f t="array" ref="K28">IFERROR(SUBSTITUTE(_xlfn._xlws.FILTER(Base!$F$4:$F$99, (Base!$C$4:$C$99=I28)*(Base!$D$4:$D$99=F28)*(Base!$E$4:$E$99=J28)),"[Prénom]",E28),"")</f>
        <v/>
      </c>
      <c r="L28" s="23"/>
    </row>
    <row r="29" spans="2:12" ht="69.95" customHeight="1" x14ac:dyDescent="0.25">
      <c r="D29" s="66"/>
      <c r="E29" s="16"/>
      <c r="F29" s="16"/>
      <c r="G29" s="17"/>
      <c r="H29" s="18"/>
      <c r="I29" s="81" t="str">
        <f t="shared" si="0"/>
        <v/>
      </c>
      <c r="J29" s="26"/>
      <c r="K29" s="74" t="str" cm="1">
        <f t="array" ref="K29">IFERROR(SUBSTITUTE(_xlfn._xlws.FILTER(Base!$F$4:$F$99, (Base!$C$4:$C$99=I29)*(Base!$D$4:$D$99=F29)*(Base!$E$4:$E$99=J29)),"[Prénom]",E29),"")</f>
        <v/>
      </c>
      <c r="L29" s="23"/>
    </row>
    <row r="30" spans="2:12" ht="69.95" customHeight="1" x14ac:dyDescent="0.25">
      <c r="D30" s="66"/>
      <c r="E30" s="16"/>
      <c r="F30" s="16"/>
      <c r="G30" s="17"/>
      <c r="H30" s="18"/>
      <c r="I30" s="81" t="str">
        <f t="shared" si="0"/>
        <v/>
      </c>
      <c r="J30" s="26"/>
      <c r="K30" s="74" t="str" cm="1">
        <f t="array" ref="K30">IFERROR(SUBSTITUTE(_xlfn._xlws.FILTER(Base!$F$4:$F$99, (Base!$C$4:$C$99=I30)*(Base!$D$4:$D$99=F30)*(Base!$E$4:$E$99=J30)),"[Prénom]",E30),"")</f>
        <v/>
      </c>
      <c r="L30" s="23"/>
    </row>
    <row r="31" spans="2:12" ht="69.95" customHeight="1" x14ac:dyDescent="0.25">
      <c r="D31" s="66"/>
      <c r="E31" s="16"/>
      <c r="F31" s="16"/>
      <c r="G31" s="17"/>
      <c r="H31" s="18"/>
      <c r="I31" s="81" t="str">
        <f t="shared" si="0"/>
        <v/>
      </c>
      <c r="J31" s="26"/>
      <c r="K31" s="74" t="str" cm="1">
        <f t="array" ref="K31">IFERROR(SUBSTITUTE(_xlfn._xlws.FILTER(Base!$F$4:$F$99, (Base!$C$4:$C$99=I31)*(Base!$D$4:$D$99=F31)*(Base!$E$4:$E$99=J31)),"[Prénom]",E31),"")</f>
        <v/>
      </c>
      <c r="L31" s="23"/>
    </row>
    <row r="32" spans="2:12" ht="69.95" customHeight="1" thickBot="1" x14ac:dyDescent="0.3">
      <c r="D32" s="66"/>
      <c r="E32" s="19"/>
      <c r="F32" s="19"/>
      <c r="G32" s="20"/>
      <c r="H32" s="21"/>
      <c r="I32" s="82" t="str">
        <f t="shared" si="0"/>
        <v/>
      </c>
      <c r="J32" s="27"/>
      <c r="K32" s="75" t="str" cm="1">
        <f t="array" ref="K32">IFERROR(SUBSTITUTE(_xlfn._xlws.FILTER(Base!$F$4:$F$99, (Base!$C$4:$C$99=I32)*(Base!$D$4:$D$99=F32)*(Base!$E$4:$E$99=J32)),"[Prénom]",E32),"")</f>
        <v/>
      </c>
      <c r="L32" s="24"/>
    </row>
    <row r="33" spans="5:12" ht="15.75" x14ac:dyDescent="0.25">
      <c r="E33" s="76"/>
      <c r="F33" s="76"/>
      <c r="G33" s="76"/>
      <c r="H33" s="76"/>
      <c r="I33" s="77"/>
      <c r="J33" s="76"/>
      <c r="K33" s="78"/>
      <c r="L33" s="76"/>
    </row>
    <row r="34" spans="5:12" ht="15.75" x14ac:dyDescent="0.25">
      <c r="E34" s="76"/>
      <c r="F34" s="76"/>
      <c r="G34" s="76"/>
      <c r="H34" s="76"/>
      <c r="I34" s="77"/>
      <c r="J34" s="76"/>
      <c r="K34" s="78"/>
      <c r="L34" s="76"/>
    </row>
    <row r="35" spans="5:12" ht="15.75" x14ac:dyDescent="0.25">
      <c r="E35" s="76"/>
      <c r="F35" s="76"/>
      <c r="G35" s="76"/>
      <c r="H35" s="76"/>
      <c r="I35" s="77"/>
      <c r="J35" s="76"/>
      <c r="K35" s="78"/>
      <c r="L35" s="76"/>
    </row>
    <row r="36" spans="5:12" ht="15.75" x14ac:dyDescent="0.25">
      <c r="E36" s="76"/>
      <c r="F36" s="76"/>
      <c r="G36" s="76"/>
      <c r="H36" s="76"/>
      <c r="I36" s="77"/>
      <c r="J36" s="76"/>
      <c r="K36" s="78"/>
      <c r="L36" s="76"/>
    </row>
    <row r="37" spans="5:12" ht="15.75" x14ac:dyDescent="0.25">
      <c r="E37" s="76"/>
      <c r="F37" s="76"/>
      <c r="G37" s="76"/>
      <c r="H37" s="76"/>
      <c r="I37" s="77"/>
      <c r="J37" s="76"/>
      <c r="K37" s="78"/>
      <c r="L37" s="76"/>
    </row>
    <row r="38" spans="5:12" ht="15.75" x14ac:dyDescent="0.25">
      <c r="E38" s="76"/>
      <c r="F38" s="76"/>
      <c r="G38" s="76"/>
      <c r="H38" s="76"/>
      <c r="I38" s="77"/>
      <c r="J38" s="76"/>
      <c r="K38" s="78"/>
      <c r="L38" s="76"/>
    </row>
    <row r="39" spans="5:12" ht="15.75" x14ac:dyDescent="0.25">
      <c r="E39" s="76"/>
      <c r="F39" s="76"/>
      <c r="G39" s="76"/>
      <c r="H39" s="76"/>
      <c r="I39" s="77"/>
      <c r="J39" s="76"/>
      <c r="K39" s="78"/>
      <c r="L39" s="76"/>
    </row>
    <row r="40" spans="5:12" ht="15.75" x14ac:dyDescent="0.25">
      <c r="E40" s="76"/>
      <c r="F40" s="76"/>
      <c r="G40" s="76"/>
      <c r="H40" s="76"/>
      <c r="I40" s="77"/>
      <c r="J40" s="76"/>
      <c r="K40" s="78"/>
      <c r="L40" s="76"/>
    </row>
    <row r="41" spans="5:12" ht="15.75" x14ac:dyDescent="0.25">
      <c r="E41" s="76"/>
      <c r="F41" s="76"/>
      <c r="G41" s="76"/>
      <c r="H41" s="76"/>
      <c r="I41" s="77"/>
      <c r="J41" s="76"/>
      <c r="K41" s="78"/>
      <c r="L41" s="76"/>
    </row>
    <row r="42" spans="5:12" ht="15.75" x14ac:dyDescent="0.25">
      <c r="E42" s="76"/>
      <c r="F42" s="76"/>
      <c r="G42" s="76"/>
      <c r="H42" s="76"/>
      <c r="I42" s="77"/>
      <c r="J42" s="76"/>
      <c r="K42" s="78"/>
      <c r="L42" s="76"/>
    </row>
    <row r="43" spans="5:12" ht="15.75" x14ac:dyDescent="0.25">
      <c r="E43" s="76"/>
      <c r="F43" s="76"/>
      <c r="G43" s="76"/>
      <c r="H43" s="76"/>
      <c r="I43" s="77"/>
      <c r="J43" s="76"/>
      <c r="K43" s="78"/>
      <c r="L43" s="76"/>
    </row>
    <row r="44" spans="5:12" ht="15.75" x14ac:dyDescent="0.25">
      <c r="E44" s="76"/>
      <c r="F44" s="76"/>
      <c r="G44" s="76"/>
      <c r="H44" s="76"/>
      <c r="I44" s="77"/>
      <c r="J44" s="76"/>
      <c r="K44" s="78"/>
      <c r="L44" s="76"/>
    </row>
    <row r="45" spans="5:12" ht="15.75" x14ac:dyDescent="0.25">
      <c r="E45" s="76"/>
      <c r="F45" s="76"/>
      <c r="G45" s="76"/>
      <c r="H45" s="76"/>
      <c r="I45" s="77"/>
      <c r="J45" s="76"/>
      <c r="K45" s="78"/>
      <c r="L45" s="76"/>
    </row>
    <row r="46" spans="5:12" ht="15.75" x14ac:dyDescent="0.25">
      <c r="E46" s="76"/>
      <c r="F46" s="76"/>
      <c r="G46" s="76"/>
      <c r="H46" s="76"/>
      <c r="I46" s="77"/>
      <c r="J46" s="76"/>
      <c r="K46" s="78"/>
      <c r="L46" s="76"/>
    </row>
    <row r="47" spans="5:12" ht="15.75" x14ac:dyDescent="0.25">
      <c r="E47" s="76"/>
      <c r="F47" s="76"/>
      <c r="G47" s="76"/>
      <c r="H47" s="76"/>
      <c r="I47" s="77"/>
      <c r="J47" s="76"/>
      <c r="K47" s="78"/>
      <c r="L47" s="76"/>
    </row>
    <row r="48" spans="5:12" ht="15.75" x14ac:dyDescent="0.25">
      <c r="E48" s="76"/>
      <c r="F48" s="76"/>
      <c r="G48" s="76"/>
      <c r="H48" s="76"/>
      <c r="I48" s="77"/>
      <c r="J48" s="76"/>
      <c r="K48" s="78"/>
      <c r="L48" s="76"/>
    </row>
    <row r="49" spans="5:12" ht="15.75" x14ac:dyDescent="0.25">
      <c r="E49" s="76"/>
      <c r="F49" s="76"/>
      <c r="G49" s="76"/>
      <c r="H49" s="76"/>
      <c r="I49" s="77"/>
      <c r="J49" s="76"/>
      <c r="K49" s="78"/>
      <c r="L49" s="76"/>
    </row>
    <row r="50" spans="5:12" ht="15.75" x14ac:dyDescent="0.25">
      <c r="E50" s="76"/>
      <c r="F50" s="76"/>
      <c r="G50" s="76"/>
      <c r="H50" s="76"/>
      <c r="I50" s="77"/>
      <c r="J50" s="76"/>
      <c r="K50" s="78"/>
      <c r="L50" s="76"/>
    </row>
    <row r="51" spans="5:12" ht="15.75" x14ac:dyDescent="0.25">
      <c r="E51" s="76"/>
      <c r="F51" s="76"/>
      <c r="G51" s="76"/>
      <c r="H51" s="76"/>
      <c r="I51" s="77"/>
      <c r="J51" s="76"/>
      <c r="K51" s="78"/>
      <c r="L51" s="76"/>
    </row>
    <row r="52" spans="5:12" ht="15.75" x14ac:dyDescent="0.25">
      <c r="E52" s="76"/>
      <c r="F52" s="76"/>
      <c r="G52" s="76"/>
      <c r="H52" s="76"/>
      <c r="I52" s="77"/>
      <c r="J52" s="76"/>
      <c r="K52" s="78"/>
      <c r="L52" s="76"/>
    </row>
    <row r="53" spans="5:12" ht="15.75" x14ac:dyDescent="0.25">
      <c r="E53" s="76"/>
      <c r="F53" s="76"/>
      <c r="G53" s="76"/>
      <c r="H53" s="76"/>
      <c r="I53" s="77"/>
      <c r="J53" s="76"/>
      <c r="K53" s="78"/>
      <c r="L53" s="76"/>
    </row>
    <row r="54" spans="5:12" ht="15.75" x14ac:dyDescent="0.25">
      <c r="E54" s="76"/>
      <c r="F54" s="76"/>
      <c r="G54" s="76"/>
      <c r="H54" s="76"/>
      <c r="I54" s="77"/>
      <c r="J54" s="76"/>
      <c r="K54" s="78"/>
      <c r="L54" s="76"/>
    </row>
    <row r="55" spans="5:12" ht="15.75" x14ac:dyDescent="0.25">
      <c r="E55" s="76"/>
      <c r="F55" s="76"/>
      <c r="G55" s="76"/>
      <c r="H55" s="76"/>
      <c r="I55" s="77"/>
      <c r="J55" s="76"/>
      <c r="K55" s="78"/>
      <c r="L55" s="76"/>
    </row>
    <row r="56" spans="5:12" ht="15.75" x14ac:dyDescent="0.25">
      <c r="E56" s="76"/>
      <c r="F56" s="76"/>
      <c r="G56" s="76"/>
      <c r="H56" s="76"/>
      <c r="I56" s="77"/>
      <c r="J56" s="76"/>
      <c r="K56" s="78"/>
      <c r="L56" s="76"/>
    </row>
    <row r="57" spans="5:12" ht="15.75" x14ac:dyDescent="0.25">
      <c r="E57" s="76"/>
      <c r="F57" s="76"/>
      <c r="G57" s="76"/>
      <c r="H57" s="76"/>
      <c r="I57" s="77"/>
      <c r="J57" s="76"/>
      <c r="K57" s="78"/>
      <c r="L57" s="76"/>
    </row>
    <row r="58" spans="5:12" ht="15.75" x14ac:dyDescent="0.25">
      <c r="E58" s="76"/>
      <c r="F58" s="76"/>
      <c r="G58" s="76"/>
      <c r="H58" s="76"/>
      <c r="I58" s="77"/>
      <c r="J58" s="76"/>
      <c r="K58" s="78"/>
      <c r="L58" s="76"/>
    </row>
    <row r="59" spans="5:12" ht="15.75" x14ac:dyDescent="0.25">
      <c r="E59" s="76"/>
      <c r="F59" s="76"/>
      <c r="G59" s="76"/>
      <c r="H59" s="76"/>
      <c r="I59" s="77"/>
      <c r="J59" s="76"/>
      <c r="K59" s="78"/>
      <c r="L59" s="76"/>
    </row>
    <row r="60" spans="5:12" ht="15.75" x14ac:dyDescent="0.25">
      <c r="E60" s="76"/>
      <c r="F60" s="76"/>
      <c r="G60" s="76"/>
      <c r="H60" s="76"/>
      <c r="I60" s="77"/>
      <c r="J60" s="76"/>
      <c r="K60" s="78"/>
      <c r="L60" s="76"/>
    </row>
    <row r="61" spans="5:12" ht="15.75" x14ac:dyDescent="0.25">
      <c r="E61" s="76"/>
      <c r="F61" s="76"/>
      <c r="G61" s="76"/>
      <c r="H61" s="76"/>
      <c r="I61" s="77"/>
      <c r="J61" s="76"/>
      <c r="K61" s="78"/>
      <c r="L61" s="76"/>
    </row>
    <row r="62" spans="5:12" ht="15.75" x14ac:dyDescent="0.25">
      <c r="E62" s="76"/>
      <c r="F62" s="76"/>
      <c r="G62" s="76"/>
      <c r="H62" s="76"/>
      <c r="I62" s="77"/>
      <c r="J62" s="76"/>
      <c r="K62" s="78"/>
      <c r="L62" s="76"/>
    </row>
    <row r="63" spans="5:12" ht="15.75" x14ac:dyDescent="0.25">
      <c r="E63" s="76"/>
      <c r="F63" s="76"/>
      <c r="G63" s="76"/>
      <c r="H63" s="76"/>
      <c r="I63" s="77"/>
      <c r="J63" s="76"/>
      <c r="K63" s="78"/>
      <c r="L63" s="76"/>
    </row>
    <row r="64" spans="5:12" ht="15.75" x14ac:dyDescent="0.25">
      <c r="E64" s="76"/>
      <c r="F64" s="76"/>
      <c r="G64" s="76"/>
      <c r="H64" s="76"/>
      <c r="I64" s="77"/>
      <c r="J64" s="76"/>
      <c r="K64" s="78"/>
      <c r="L64" s="76"/>
    </row>
    <row r="65" spans="5:12" ht="15.75" x14ac:dyDescent="0.25">
      <c r="E65" s="76"/>
      <c r="F65" s="76"/>
      <c r="G65" s="76"/>
      <c r="H65" s="76"/>
      <c r="I65" s="77"/>
      <c r="J65" s="76"/>
      <c r="K65" s="78"/>
      <c r="L65" s="76"/>
    </row>
    <row r="66" spans="5:12" ht="15.75" x14ac:dyDescent="0.25">
      <c r="E66" s="76"/>
      <c r="F66" s="76"/>
      <c r="G66" s="76"/>
      <c r="H66" s="76"/>
      <c r="I66" s="77"/>
      <c r="J66" s="76"/>
      <c r="K66" s="78"/>
      <c r="L66" s="76"/>
    </row>
    <row r="67" spans="5:12" ht="15.75" x14ac:dyDescent="0.25">
      <c r="E67" s="76"/>
      <c r="F67" s="76"/>
      <c r="G67" s="76"/>
      <c r="H67" s="76"/>
      <c r="I67" s="77"/>
      <c r="J67" s="76"/>
      <c r="K67" s="78"/>
      <c r="L67" s="76"/>
    </row>
    <row r="68" spans="5:12" ht="15.75" x14ac:dyDescent="0.25">
      <c r="E68" s="76"/>
      <c r="F68" s="76"/>
      <c r="G68" s="76"/>
      <c r="H68" s="76"/>
      <c r="I68" s="77"/>
      <c r="J68" s="76"/>
      <c r="K68" s="78"/>
      <c r="L68" s="76"/>
    </row>
  </sheetData>
  <sheetProtection algorithmName="SHA-512" hashValue="mq25mC4tFLrodvZUQUuWjQlU8tac6ZNcIxUzQJHVdONTevf9NBgom8NfxCgtGAcLJv+mNfdPA1K0Td77S16p8Q==" saltValue="xjrDSaGFe0HFGz48MP/lpw==" spinCount="100000" sheet="1" objects="1" scenarios="1"/>
  <dataValidations count="2">
    <dataValidation type="list" allowBlank="1" showInputMessage="1" showErrorMessage="1" sqref="H3:H32" xr:uid="{C12CA21F-689E-4041-9249-4A91CF171E2D}">
      <formula1>$B$3:$B$18</formula1>
    </dataValidation>
    <dataValidation type="list" allowBlank="1" showInputMessage="1" showErrorMessage="1" sqref="J3:J32" xr:uid="{A893FD03-A604-4A84-9B2A-8B3BCD3A8419}">
      <formula1>"Bienveillant,Neutre,Exigeant"</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E929C-8352-4DEB-9964-A713F0644525}">
  <sheetPr codeName="Feuil4"/>
  <dimension ref="B1:Z68"/>
  <sheetViews>
    <sheetView zoomScale="40" zoomScaleNormal="40" workbookViewId="0">
      <selection activeCell="Q6" sqref="Q6"/>
    </sheetView>
  </sheetViews>
  <sheetFormatPr baseColWidth="10" defaultRowHeight="15" x14ac:dyDescent="0.25"/>
  <cols>
    <col min="1" max="1" width="11.42578125" style="1"/>
    <col min="2" max="2" width="46.42578125" style="1" customWidth="1"/>
    <col min="3" max="4" width="11.42578125" style="1"/>
    <col min="5" max="5" width="95.28515625" style="1" customWidth="1"/>
    <col min="6" max="6" width="27" style="1" customWidth="1"/>
    <col min="7" max="7" width="11.5703125" style="1" bestFit="1" customWidth="1"/>
    <col min="8" max="8" width="12" style="1" bestFit="1" customWidth="1"/>
    <col min="9" max="9" width="32.85546875" style="1" customWidth="1"/>
    <col min="10" max="10" width="11.42578125" style="1" customWidth="1"/>
    <col min="11" max="11" width="14.28515625" style="1" customWidth="1"/>
    <col min="12" max="12" width="75.140625" style="63" customWidth="1"/>
    <col min="13" max="13" width="95.28515625" style="1" customWidth="1"/>
    <col min="14" max="16384" width="11.42578125" style="1"/>
  </cols>
  <sheetData>
    <row r="1" spans="2:26" ht="99.95" customHeight="1" thickBot="1" x14ac:dyDescent="0.3">
      <c r="Z1" s="1" t="s">
        <v>208</v>
      </c>
    </row>
    <row r="2" spans="2:26" ht="20.100000000000001" customHeight="1" thickBot="1" x14ac:dyDescent="0.3">
      <c r="B2" s="65" t="s">
        <v>19</v>
      </c>
      <c r="C2" s="40" t="s">
        <v>2</v>
      </c>
      <c r="D2" s="66"/>
      <c r="E2" s="84" t="s">
        <v>207</v>
      </c>
      <c r="F2" s="67" t="s">
        <v>18</v>
      </c>
      <c r="G2" s="68" t="s">
        <v>17</v>
      </c>
      <c r="H2" s="68" t="s">
        <v>200</v>
      </c>
      <c r="I2" s="69" t="s">
        <v>20</v>
      </c>
      <c r="J2" s="85" t="s">
        <v>2</v>
      </c>
      <c r="K2" s="70" t="s">
        <v>0</v>
      </c>
      <c r="L2" s="84" t="s">
        <v>1</v>
      </c>
      <c r="M2" s="72" t="s">
        <v>21</v>
      </c>
    </row>
    <row r="3" spans="2:26" ht="69.95" customHeight="1" x14ac:dyDescent="0.25">
      <c r="B3" s="49" t="s">
        <v>6</v>
      </c>
      <c r="C3" s="5">
        <v>1</v>
      </c>
      <c r="D3" s="4"/>
      <c r="E3" s="86" t="str">
        <f>IF('1er semestre'!L3="","",'1er semestre'!L3)</f>
        <v/>
      </c>
      <c r="F3" s="28"/>
      <c r="G3" s="13"/>
      <c r="H3" s="14"/>
      <c r="I3" s="15"/>
      <c r="J3" s="87">
        <v>3</v>
      </c>
      <c r="K3" s="83"/>
      <c r="L3" s="74" t="str" cm="1">
        <f t="array" ref="L3">IFERROR(SUBSTITUTE(_xlfn._xlws.FILTER(Base!$F$4:$F$99, (Base!$C$4:$C$99=J3)*(Base!$D$4:$D$99=G3)*(Base!$E$4:$E$99=K3)),"[Prénom]",F3),"")</f>
        <v/>
      </c>
      <c r="M3" s="22"/>
    </row>
    <row r="4" spans="2:26" ht="69.95" customHeight="1" x14ac:dyDescent="0.25">
      <c r="B4" s="54" t="s">
        <v>14</v>
      </c>
      <c r="C4" s="6">
        <v>2</v>
      </c>
      <c r="D4" s="4"/>
      <c r="E4" s="74" t="str">
        <f>IF('1er semestre'!L4="","",'1er semestre'!L4)</f>
        <v/>
      </c>
      <c r="F4" s="29"/>
      <c r="G4" s="16"/>
      <c r="H4" s="17"/>
      <c r="I4" s="18"/>
      <c r="J4" s="81" t="str">
        <f t="shared" ref="J4:J32" si="0">IFERROR(VLOOKUP(I4,$B$3:$C$18,2,FALSE),"")</f>
        <v/>
      </c>
      <c r="K4" s="18"/>
      <c r="L4" s="74" t="str" cm="1">
        <f t="array" ref="L4">IFERROR(SUBSTITUTE(_xlfn._xlws.FILTER(Base!$F$4:$F$99, (Base!$C$4:$C$99=J4)*(Base!$D$4:$D$99=G4)*(Base!$E$4:$E$99=K4)),"[Prénom]",F4),"")</f>
        <v/>
      </c>
      <c r="M4" s="23"/>
    </row>
    <row r="5" spans="2:26" ht="69.95" customHeight="1" x14ac:dyDescent="0.25">
      <c r="B5" s="54" t="s">
        <v>12</v>
      </c>
      <c r="C5" s="6">
        <v>3</v>
      </c>
      <c r="D5" s="4"/>
      <c r="E5" s="74" t="str">
        <f>IF('1er semestre'!L5="","",'1er semestre'!L5)</f>
        <v/>
      </c>
      <c r="F5" s="29"/>
      <c r="G5" s="16"/>
      <c r="H5" s="17"/>
      <c r="I5" s="18"/>
      <c r="J5" s="81" t="str">
        <f t="shared" si="0"/>
        <v/>
      </c>
      <c r="K5" s="18"/>
      <c r="L5" s="74" t="str" cm="1">
        <f t="array" ref="L5">IFERROR(SUBSTITUTE(_xlfn._xlws.FILTER(Base!$F$4:$F$99, (Base!$C$4:$C$99=J5)*(Base!$D$4:$D$99=G5)*(Base!$E$4:$E$99=K5)),"[Prénom]",F5),"")</f>
        <v/>
      </c>
      <c r="M5" s="23"/>
    </row>
    <row r="6" spans="2:26" ht="69.95" customHeight="1" x14ac:dyDescent="0.25">
      <c r="B6" s="54" t="s">
        <v>11</v>
      </c>
      <c r="C6" s="6">
        <v>4</v>
      </c>
      <c r="D6" s="4"/>
      <c r="E6" s="74" t="str">
        <f>IF('1er semestre'!L6="","",'1er semestre'!L6)</f>
        <v/>
      </c>
      <c r="F6" s="29"/>
      <c r="G6" s="16"/>
      <c r="H6" s="17"/>
      <c r="I6" s="18"/>
      <c r="J6" s="81" t="str">
        <f t="shared" si="0"/>
        <v/>
      </c>
      <c r="K6" s="18"/>
      <c r="L6" s="74" t="str" cm="1">
        <f t="array" ref="L6">IFERROR(SUBSTITUTE(_xlfn._xlws.FILTER(Base!$F$4:$F$99, (Base!$C$4:$C$99=J6)*(Base!$D$4:$D$99=G6)*(Base!$E$4:$E$99=K6)),"[Prénom]",F6),"")</f>
        <v/>
      </c>
      <c r="M6" s="23"/>
    </row>
    <row r="7" spans="2:26" ht="69.95" customHeight="1" x14ac:dyDescent="0.25">
      <c r="B7" s="54" t="s">
        <v>7</v>
      </c>
      <c r="C7" s="6">
        <v>5</v>
      </c>
      <c r="D7" s="4"/>
      <c r="E7" s="74" t="str">
        <f>IF('1er semestre'!L7="","",'1er semestre'!L7)</f>
        <v/>
      </c>
      <c r="F7" s="29"/>
      <c r="G7" s="16"/>
      <c r="H7" s="17"/>
      <c r="I7" s="18"/>
      <c r="J7" s="81" t="str">
        <f t="shared" si="0"/>
        <v/>
      </c>
      <c r="K7" s="18"/>
      <c r="L7" s="74" t="str" cm="1">
        <f t="array" ref="L7">IFERROR(SUBSTITUTE(_xlfn._xlws.FILTER(Base!$F$4:$F$99, (Base!$C$4:$C$99=J7)*(Base!$D$4:$D$99=G7)*(Base!$E$4:$E$99=K7)),"[Prénom]",F7),"")</f>
        <v/>
      </c>
      <c r="M7" s="23"/>
    </row>
    <row r="8" spans="2:26" ht="69.95" customHeight="1" x14ac:dyDescent="0.25">
      <c r="B8" s="54" t="s">
        <v>15</v>
      </c>
      <c r="C8" s="6">
        <v>6</v>
      </c>
      <c r="D8" s="4"/>
      <c r="E8" s="74" t="str">
        <f>IF('1er semestre'!L8="","",'1er semestre'!L8)</f>
        <v/>
      </c>
      <c r="F8" s="29"/>
      <c r="G8" s="16"/>
      <c r="H8" s="17"/>
      <c r="I8" s="18"/>
      <c r="J8" s="81" t="str">
        <f t="shared" si="0"/>
        <v/>
      </c>
      <c r="K8" s="18"/>
      <c r="L8" s="74" t="str" cm="1">
        <f t="array" ref="L8">IFERROR(SUBSTITUTE(_xlfn._xlws.FILTER(Base!$F$4:$F$99, (Base!$C$4:$C$99=J8)*(Base!$D$4:$D$99=G8)*(Base!$E$4:$E$99=K8)),"[Prénom]",F8),"")</f>
        <v/>
      </c>
      <c r="M8" s="23"/>
    </row>
    <row r="9" spans="2:26" ht="69.95" customHeight="1" x14ac:dyDescent="0.25">
      <c r="B9" s="54" t="s">
        <v>8</v>
      </c>
      <c r="C9" s="6">
        <v>7</v>
      </c>
      <c r="D9" s="4"/>
      <c r="E9" s="74" t="str">
        <f>IF('1er semestre'!L9="","",'1er semestre'!L9)</f>
        <v/>
      </c>
      <c r="F9" s="29"/>
      <c r="G9" s="16"/>
      <c r="H9" s="17"/>
      <c r="I9" s="18"/>
      <c r="J9" s="81" t="str">
        <f t="shared" si="0"/>
        <v/>
      </c>
      <c r="K9" s="18"/>
      <c r="L9" s="74" t="str" cm="1">
        <f t="array" ref="L9">IFERROR(SUBSTITUTE(_xlfn._xlws.FILTER(Base!$F$4:$F$99, (Base!$C$4:$C$99=J9)*(Base!$D$4:$D$99=G9)*(Base!$E$4:$E$99=K9)),"[Prénom]",F9),"")</f>
        <v/>
      </c>
      <c r="M9" s="23"/>
      <c r="Q9" s="64"/>
    </row>
    <row r="10" spans="2:26" ht="69.95" customHeight="1" x14ac:dyDescent="0.25">
      <c r="B10" s="54" t="s">
        <v>67</v>
      </c>
      <c r="C10" s="6">
        <v>8</v>
      </c>
      <c r="D10" s="4"/>
      <c r="E10" s="74" t="str">
        <f>IF('1er semestre'!L10="","",'1er semestre'!L10)</f>
        <v/>
      </c>
      <c r="F10" s="29"/>
      <c r="G10" s="16"/>
      <c r="H10" s="17"/>
      <c r="I10" s="18"/>
      <c r="J10" s="81" t="str">
        <f t="shared" si="0"/>
        <v/>
      </c>
      <c r="K10" s="18"/>
      <c r="L10" s="74" t="str" cm="1">
        <f t="array" ref="L10">IFERROR(SUBSTITUTE(_xlfn._xlws.FILTER(Base!$F$4:$F$99, (Base!$C$4:$C$99=J10)*(Base!$D$4:$D$99=G10)*(Base!$E$4:$E$99=K10)),"[Prénom]",F10),"")</f>
        <v/>
      </c>
      <c r="M10" s="23"/>
    </row>
    <row r="11" spans="2:26" ht="69.95" customHeight="1" x14ac:dyDescent="0.25">
      <c r="B11" s="54" t="s">
        <v>13</v>
      </c>
      <c r="C11" s="6">
        <v>9</v>
      </c>
      <c r="D11" s="4"/>
      <c r="E11" s="74" t="str">
        <f>IF('1er semestre'!L11="","",'1er semestre'!L11)</f>
        <v/>
      </c>
      <c r="F11" s="29"/>
      <c r="G11" s="16"/>
      <c r="H11" s="17"/>
      <c r="I11" s="18"/>
      <c r="J11" s="81" t="str">
        <f t="shared" si="0"/>
        <v/>
      </c>
      <c r="K11" s="18"/>
      <c r="L11" s="74" t="str" cm="1">
        <f t="array" ref="L11">IFERROR(SUBSTITUTE(_xlfn._xlws.FILTER(Base!$F$4:$F$99, (Base!$C$4:$C$99=J11)*(Base!$D$4:$D$99=G11)*(Base!$E$4:$E$99=K11)),"[Prénom]",F11),"")</f>
        <v/>
      </c>
      <c r="M11" s="23"/>
    </row>
    <row r="12" spans="2:26" ht="69.95" customHeight="1" x14ac:dyDescent="0.25">
      <c r="B12" s="54" t="s">
        <v>9</v>
      </c>
      <c r="C12" s="6">
        <v>10</v>
      </c>
      <c r="D12" s="4"/>
      <c r="E12" s="74" t="str">
        <f>IF('1er semestre'!L12="","",'1er semestre'!L12)</f>
        <v/>
      </c>
      <c r="F12" s="29"/>
      <c r="G12" s="16"/>
      <c r="H12" s="17"/>
      <c r="I12" s="18"/>
      <c r="J12" s="81" t="str">
        <f t="shared" si="0"/>
        <v/>
      </c>
      <c r="K12" s="18"/>
      <c r="L12" s="74" t="str" cm="1">
        <f t="array" ref="L12">IFERROR(SUBSTITUTE(_xlfn._xlws.FILTER(Base!$F$4:$F$99, (Base!$C$4:$C$99=J12)*(Base!$D$4:$D$99=G12)*(Base!$E$4:$E$99=K12)),"[Prénom]",F12),"")</f>
        <v/>
      </c>
      <c r="M12" s="23"/>
    </row>
    <row r="13" spans="2:26" ht="69.95" customHeight="1" x14ac:dyDescent="0.25">
      <c r="B13" s="54" t="s">
        <v>86</v>
      </c>
      <c r="C13" s="6">
        <v>11</v>
      </c>
      <c r="D13" s="4"/>
      <c r="E13" s="74" t="str">
        <f>IF('1er semestre'!L13="","",'1er semestre'!L13)</f>
        <v/>
      </c>
      <c r="F13" s="29"/>
      <c r="G13" s="16"/>
      <c r="H13" s="17"/>
      <c r="I13" s="18"/>
      <c r="J13" s="81" t="str">
        <f t="shared" si="0"/>
        <v/>
      </c>
      <c r="K13" s="18"/>
      <c r="L13" s="74" t="str" cm="1">
        <f t="array" ref="L13">IFERROR(SUBSTITUTE(_xlfn._xlws.FILTER(Base!$F$4:$F$99, (Base!$C$4:$C$99=J13)*(Base!$D$4:$D$99=G13)*(Base!$E$4:$E$99=K13)),"[Prénom]",F13),"")</f>
        <v/>
      </c>
      <c r="M13" s="23"/>
    </row>
    <row r="14" spans="2:26" ht="69.95" customHeight="1" x14ac:dyDescent="0.25">
      <c r="B14" s="54" t="s">
        <v>63</v>
      </c>
      <c r="C14" s="6">
        <v>12</v>
      </c>
      <c r="D14" s="4"/>
      <c r="E14" s="74" t="str">
        <f>IF('1er semestre'!L14="","",'1er semestre'!L14)</f>
        <v/>
      </c>
      <c r="F14" s="29"/>
      <c r="G14" s="16"/>
      <c r="H14" s="17"/>
      <c r="I14" s="18"/>
      <c r="J14" s="81" t="str">
        <f t="shared" si="0"/>
        <v/>
      </c>
      <c r="K14" s="18"/>
      <c r="L14" s="74" t="str" cm="1">
        <f t="array" ref="L14">IFERROR(SUBSTITUTE(_xlfn._xlws.FILTER(Base!$F$4:$F$99, (Base!$C$4:$C$99=J14)*(Base!$D$4:$D$99=G14)*(Base!$E$4:$E$99=K14)),"[Prénom]",F14),"")</f>
        <v/>
      </c>
      <c r="M14" s="23"/>
    </row>
    <row r="15" spans="2:26" ht="69.95" customHeight="1" x14ac:dyDescent="0.25">
      <c r="B15" s="54" t="s">
        <v>99</v>
      </c>
      <c r="C15" s="6">
        <v>13</v>
      </c>
      <c r="D15" s="4"/>
      <c r="E15" s="74" t="str">
        <f>IF('1er semestre'!L15="","",'1er semestre'!L15)</f>
        <v/>
      </c>
      <c r="F15" s="29"/>
      <c r="G15" s="16"/>
      <c r="H15" s="17"/>
      <c r="I15" s="18"/>
      <c r="J15" s="81" t="str">
        <f t="shared" si="0"/>
        <v/>
      </c>
      <c r="K15" s="18"/>
      <c r="L15" s="74" t="str" cm="1">
        <f t="array" ref="L15">IFERROR(SUBSTITUTE(_xlfn._xlws.FILTER(Base!$F$4:$F$99, (Base!$C$4:$C$99=J15)*(Base!$D$4:$D$99=G15)*(Base!$E$4:$E$99=K15)),"[Prénom]",F15),"")</f>
        <v/>
      </c>
      <c r="M15" s="23"/>
    </row>
    <row r="16" spans="2:26" ht="69.95" customHeight="1" x14ac:dyDescent="0.25">
      <c r="B16" s="54" t="s">
        <v>92</v>
      </c>
      <c r="C16" s="6">
        <v>14</v>
      </c>
      <c r="D16" s="4"/>
      <c r="E16" s="74" t="str">
        <f>IF('1er semestre'!L16="","",'1er semestre'!L16)</f>
        <v/>
      </c>
      <c r="F16" s="29"/>
      <c r="G16" s="16"/>
      <c r="H16" s="17"/>
      <c r="I16" s="18"/>
      <c r="J16" s="81" t="str">
        <f t="shared" si="0"/>
        <v/>
      </c>
      <c r="K16" s="18"/>
      <c r="L16" s="74" t="str" cm="1">
        <f t="array" ref="L16">IFERROR(SUBSTITUTE(_xlfn._xlws.FILTER(Base!$F$4:$F$99, (Base!$C$4:$C$99=J16)*(Base!$D$4:$D$99=G16)*(Base!$E$4:$E$99=K16)),"[Prénom]",F16),"")</f>
        <v/>
      </c>
      <c r="M16" s="23"/>
    </row>
    <row r="17" spans="2:13" ht="69.95" customHeight="1" x14ac:dyDescent="0.25">
      <c r="B17" s="54" t="s">
        <v>10</v>
      </c>
      <c r="C17" s="6">
        <v>15</v>
      </c>
      <c r="D17" s="4"/>
      <c r="E17" s="74" t="str">
        <f>IF('1er semestre'!L17="","",'1er semestre'!L17)</f>
        <v/>
      </c>
      <c r="F17" s="29"/>
      <c r="G17" s="16"/>
      <c r="H17" s="17"/>
      <c r="I17" s="18"/>
      <c r="J17" s="81" t="str">
        <f t="shared" si="0"/>
        <v/>
      </c>
      <c r="K17" s="18"/>
      <c r="L17" s="74" t="str" cm="1">
        <f t="array" ref="L17">IFERROR(SUBSTITUTE(_xlfn._xlws.FILTER(Base!$F$4:$F$99, (Base!$C$4:$C$99=J17)*(Base!$D$4:$D$99=G17)*(Base!$E$4:$E$99=K17)),"[Prénom]",F17),"")</f>
        <v/>
      </c>
      <c r="M17" s="23"/>
    </row>
    <row r="18" spans="2:13" ht="69.95" customHeight="1" thickBot="1" x14ac:dyDescent="0.3">
      <c r="B18" s="59" t="s">
        <v>74</v>
      </c>
      <c r="C18" s="7">
        <v>16</v>
      </c>
      <c r="D18" s="4"/>
      <c r="E18" s="74" t="str">
        <f>IF('1er semestre'!L18="","",'1er semestre'!L18)</f>
        <v/>
      </c>
      <c r="F18" s="29"/>
      <c r="G18" s="16"/>
      <c r="H18" s="17"/>
      <c r="I18" s="18"/>
      <c r="J18" s="81" t="str">
        <f t="shared" si="0"/>
        <v/>
      </c>
      <c r="K18" s="18"/>
      <c r="L18" s="74" t="str" cm="1">
        <f t="array" ref="L18">IFERROR(SUBSTITUTE(_xlfn._xlws.FILTER(Base!$F$4:$F$99, (Base!$C$4:$C$99=J18)*(Base!$D$4:$D$99=G18)*(Base!$E$4:$E$99=K18)),"[Prénom]",F18),"")</f>
        <v/>
      </c>
      <c r="M18" s="23"/>
    </row>
    <row r="19" spans="2:13" ht="69.95" customHeight="1" x14ac:dyDescent="0.25">
      <c r="D19" s="66"/>
      <c r="E19" s="74" t="str">
        <f>IF('1er semestre'!L19="","",'1er semestre'!L19)</f>
        <v/>
      </c>
      <c r="F19" s="29"/>
      <c r="G19" s="16"/>
      <c r="H19" s="17"/>
      <c r="I19" s="18"/>
      <c r="J19" s="81" t="str">
        <f t="shared" si="0"/>
        <v/>
      </c>
      <c r="K19" s="18"/>
      <c r="L19" s="74" t="str" cm="1">
        <f t="array" ref="L19">IFERROR(SUBSTITUTE(_xlfn._xlws.FILTER(Base!$F$4:$F$99, (Base!$C$4:$C$99=J19)*(Base!$D$4:$D$99=G19)*(Base!$E$4:$E$99=K19)),"[Prénom]",F19),"")</f>
        <v/>
      </c>
      <c r="M19" s="23"/>
    </row>
    <row r="20" spans="2:13" ht="69.95" customHeight="1" x14ac:dyDescent="0.25">
      <c r="D20" s="66"/>
      <c r="E20" s="74" t="str">
        <f>IF('1er semestre'!L20="","",'1er semestre'!L20)</f>
        <v/>
      </c>
      <c r="F20" s="29"/>
      <c r="G20" s="16"/>
      <c r="H20" s="17"/>
      <c r="I20" s="18"/>
      <c r="J20" s="81" t="str">
        <f t="shared" si="0"/>
        <v/>
      </c>
      <c r="K20" s="18"/>
      <c r="L20" s="74" t="str" cm="1">
        <f t="array" ref="L20">IFERROR(SUBSTITUTE(_xlfn._xlws.FILTER(Base!$F$4:$F$99, (Base!$C$4:$C$99=J20)*(Base!$D$4:$D$99=G20)*(Base!$E$4:$E$99=K20)),"[Prénom]",F20),"")</f>
        <v/>
      </c>
      <c r="M20" s="23"/>
    </row>
    <row r="21" spans="2:13" ht="69.95" customHeight="1" x14ac:dyDescent="0.25">
      <c r="D21" s="66"/>
      <c r="E21" s="74" t="str">
        <f>IF('1er semestre'!L21="","",'1er semestre'!L21)</f>
        <v/>
      </c>
      <c r="F21" s="29"/>
      <c r="G21" s="16"/>
      <c r="H21" s="17"/>
      <c r="I21" s="18"/>
      <c r="J21" s="81" t="str">
        <f t="shared" si="0"/>
        <v/>
      </c>
      <c r="K21" s="18"/>
      <c r="L21" s="74" t="str" cm="1">
        <f t="array" ref="L21">IFERROR(SUBSTITUTE(_xlfn._xlws.FILTER(Base!$F$4:$F$99, (Base!$C$4:$C$99=J21)*(Base!$D$4:$D$99=G21)*(Base!$E$4:$E$99=K21)),"[Prénom]",F21),"")</f>
        <v/>
      </c>
      <c r="M21" s="23"/>
    </row>
    <row r="22" spans="2:13" ht="69.95" customHeight="1" x14ac:dyDescent="0.25">
      <c r="D22" s="66"/>
      <c r="E22" s="74" t="str">
        <f>IF('1er semestre'!L22="","",'1er semestre'!L22)</f>
        <v/>
      </c>
      <c r="F22" s="29"/>
      <c r="G22" s="16"/>
      <c r="H22" s="17"/>
      <c r="I22" s="18"/>
      <c r="J22" s="81" t="str">
        <f t="shared" si="0"/>
        <v/>
      </c>
      <c r="K22" s="18"/>
      <c r="L22" s="74" t="str" cm="1">
        <f t="array" ref="L22">IFERROR(SUBSTITUTE(_xlfn._xlws.FILTER(Base!$F$4:$F$99, (Base!$C$4:$C$99=J22)*(Base!$D$4:$D$99=G22)*(Base!$E$4:$E$99=K22)),"[Prénom]",F22),"")</f>
        <v/>
      </c>
      <c r="M22" s="23"/>
    </row>
    <row r="23" spans="2:13" ht="69.95" customHeight="1" x14ac:dyDescent="0.25">
      <c r="D23" s="66"/>
      <c r="E23" s="74" t="str">
        <f>IF('1er semestre'!L23="","",'1er semestre'!L23)</f>
        <v/>
      </c>
      <c r="F23" s="29"/>
      <c r="G23" s="16"/>
      <c r="H23" s="17"/>
      <c r="I23" s="18"/>
      <c r="J23" s="81" t="str">
        <f t="shared" si="0"/>
        <v/>
      </c>
      <c r="K23" s="18"/>
      <c r="L23" s="74" t="str" cm="1">
        <f t="array" ref="L23">IFERROR(SUBSTITUTE(_xlfn._xlws.FILTER(Base!$F$4:$F$99, (Base!$C$4:$C$99=J23)*(Base!$D$4:$D$99=G23)*(Base!$E$4:$E$99=K23)),"[Prénom]",F23),"")</f>
        <v/>
      </c>
      <c r="M23" s="23"/>
    </row>
    <row r="24" spans="2:13" ht="69.95" customHeight="1" x14ac:dyDescent="0.25">
      <c r="D24" s="66"/>
      <c r="E24" s="74" t="str">
        <f>IF('1er semestre'!L24="","",'1er semestre'!L24)</f>
        <v/>
      </c>
      <c r="F24" s="29"/>
      <c r="G24" s="16"/>
      <c r="H24" s="17"/>
      <c r="I24" s="18"/>
      <c r="J24" s="81" t="str">
        <f t="shared" si="0"/>
        <v/>
      </c>
      <c r="K24" s="18"/>
      <c r="L24" s="74" t="str" cm="1">
        <f t="array" ref="L24">IFERROR(SUBSTITUTE(_xlfn._xlws.FILTER(Base!$F$4:$F$99, (Base!$C$4:$C$99=J24)*(Base!$D$4:$D$99=G24)*(Base!$E$4:$E$99=K24)),"[Prénom]",F24),"")</f>
        <v/>
      </c>
      <c r="M24" s="23"/>
    </row>
    <row r="25" spans="2:13" ht="69.95" customHeight="1" x14ac:dyDescent="0.25">
      <c r="D25" s="66"/>
      <c r="E25" s="74" t="str">
        <f>IF('1er semestre'!L25="","",'1er semestre'!L25)</f>
        <v/>
      </c>
      <c r="F25" s="29"/>
      <c r="G25" s="16"/>
      <c r="H25" s="17"/>
      <c r="I25" s="18"/>
      <c r="J25" s="81" t="str">
        <f t="shared" si="0"/>
        <v/>
      </c>
      <c r="K25" s="18"/>
      <c r="L25" s="74" t="str" cm="1">
        <f t="array" ref="L25">IFERROR(SUBSTITUTE(_xlfn._xlws.FILTER(Base!$F$4:$F$99, (Base!$C$4:$C$99=J25)*(Base!$D$4:$D$99=G25)*(Base!$E$4:$E$99=K25)),"[Prénom]",F25),"")</f>
        <v/>
      </c>
      <c r="M25" s="23"/>
    </row>
    <row r="26" spans="2:13" ht="69.95" customHeight="1" x14ac:dyDescent="0.25">
      <c r="D26" s="66"/>
      <c r="E26" s="74" t="str">
        <f>IF('1er semestre'!L26="","",'1er semestre'!L26)</f>
        <v/>
      </c>
      <c r="F26" s="29"/>
      <c r="G26" s="16"/>
      <c r="H26" s="17"/>
      <c r="I26" s="18"/>
      <c r="J26" s="81" t="str">
        <f t="shared" si="0"/>
        <v/>
      </c>
      <c r="K26" s="18"/>
      <c r="L26" s="74" t="str" cm="1">
        <f t="array" ref="L26">IFERROR(SUBSTITUTE(_xlfn._xlws.FILTER(Base!$F$4:$F$99, (Base!$C$4:$C$99=J26)*(Base!$D$4:$D$99=G26)*(Base!$E$4:$E$99=K26)),"[Prénom]",F26),"")</f>
        <v/>
      </c>
      <c r="M26" s="23"/>
    </row>
    <row r="27" spans="2:13" ht="69.95" customHeight="1" x14ac:dyDescent="0.25">
      <c r="D27" s="66"/>
      <c r="E27" s="74" t="str">
        <f>IF('1er semestre'!L27="","",'1er semestre'!L27)</f>
        <v/>
      </c>
      <c r="F27" s="29"/>
      <c r="G27" s="16"/>
      <c r="H27" s="17"/>
      <c r="I27" s="18"/>
      <c r="J27" s="81" t="str">
        <f t="shared" si="0"/>
        <v/>
      </c>
      <c r="K27" s="18"/>
      <c r="L27" s="74" t="str" cm="1">
        <f t="array" ref="L27">IFERROR(SUBSTITUTE(_xlfn._xlws.FILTER(Base!$F$4:$F$99, (Base!$C$4:$C$99=J27)*(Base!$D$4:$D$99=G27)*(Base!$E$4:$E$99=K27)),"[Prénom]",F27),"")</f>
        <v/>
      </c>
      <c r="M27" s="23"/>
    </row>
    <row r="28" spans="2:13" ht="69.95" customHeight="1" x14ac:dyDescent="0.25">
      <c r="D28" s="66"/>
      <c r="E28" s="74" t="str">
        <f>IF('1er semestre'!L28="","",'1er semestre'!L28)</f>
        <v/>
      </c>
      <c r="F28" s="29"/>
      <c r="G28" s="16"/>
      <c r="H28" s="17"/>
      <c r="I28" s="18"/>
      <c r="J28" s="81" t="str">
        <f t="shared" si="0"/>
        <v/>
      </c>
      <c r="K28" s="18"/>
      <c r="L28" s="74" t="str" cm="1">
        <f t="array" ref="L28">IFERROR(SUBSTITUTE(_xlfn._xlws.FILTER(Base!$F$4:$F$99, (Base!$C$4:$C$99=J28)*(Base!$D$4:$D$99=G28)*(Base!$E$4:$E$99=K28)),"[Prénom]",F28),"")</f>
        <v/>
      </c>
      <c r="M28" s="23"/>
    </row>
    <row r="29" spans="2:13" ht="69.95" customHeight="1" x14ac:dyDescent="0.25">
      <c r="D29" s="66"/>
      <c r="E29" s="74" t="str">
        <f>IF('1er semestre'!L29="","",'1er semestre'!L29)</f>
        <v/>
      </c>
      <c r="F29" s="29"/>
      <c r="G29" s="16"/>
      <c r="H29" s="17"/>
      <c r="I29" s="18"/>
      <c r="J29" s="81" t="str">
        <f t="shared" si="0"/>
        <v/>
      </c>
      <c r="K29" s="18"/>
      <c r="L29" s="74" t="str" cm="1">
        <f t="array" ref="L29">IFERROR(SUBSTITUTE(_xlfn._xlws.FILTER(Base!$F$4:$F$99, (Base!$C$4:$C$99=J29)*(Base!$D$4:$D$99=G29)*(Base!$E$4:$E$99=K29)),"[Prénom]",F29),"")</f>
        <v/>
      </c>
      <c r="M29" s="23"/>
    </row>
    <row r="30" spans="2:13" ht="69.95" customHeight="1" x14ac:dyDescent="0.25">
      <c r="D30" s="66"/>
      <c r="E30" s="74" t="str">
        <f>IF('1er semestre'!L30="","",'1er semestre'!L30)</f>
        <v/>
      </c>
      <c r="F30" s="29"/>
      <c r="G30" s="16"/>
      <c r="H30" s="17"/>
      <c r="I30" s="18"/>
      <c r="J30" s="81" t="str">
        <f t="shared" si="0"/>
        <v/>
      </c>
      <c r="K30" s="18"/>
      <c r="L30" s="74" t="str" cm="1">
        <f t="array" ref="L30">IFERROR(SUBSTITUTE(_xlfn._xlws.FILTER(Base!$F$4:$F$99, (Base!$C$4:$C$99=J30)*(Base!$D$4:$D$99=G30)*(Base!$E$4:$E$99=K30)),"[Prénom]",F30),"")</f>
        <v/>
      </c>
      <c r="M30" s="23"/>
    </row>
    <row r="31" spans="2:13" ht="69.95" customHeight="1" x14ac:dyDescent="0.25">
      <c r="D31" s="66"/>
      <c r="E31" s="74" t="str">
        <f>IF('1er semestre'!L31="","",'1er semestre'!L31)</f>
        <v/>
      </c>
      <c r="F31" s="29"/>
      <c r="G31" s="16"/>
      <c r="H31" s="17"/>
      <c r="I31" s="18"/>
      <c r="J31" s="81" t="str">
        <f t="shared" si="0"/>
        <v/>
      </c>
      <c r="K31" s="18"/>
      <c r="L31" s="74" t="str" cm="1">
        <f t="array" ref="L31">IFERROR(SUBSTITUTE(_xlfn._xlws.FILTER(Base!$F$4:$F$99, (Base!$C$4:$C$99=J31)*(Base!$D$4:$D$99=G31)*(Base!$E$4:$E$99=K31)),"[Prénom]",F31),"")</f>
        <v/>
      </c>
      <c r="M31" s="23"/>
    </row>
    <row r="32" spans="2:13" ht="69.95" customHeight="1" thickBot="1" x14ac:dyDescent="0.3">
      <c r="D32" s="66"/>
      <c r="E32" s="75" t="str">
        <f>IF('1er semestre'!L32="","",'1er semestre'!L32)</f>
        <v/>
      </c>
      <c r="F32" s="30"/>
      <c r="G32" s="19"/>
      <c r="H32" s="20"/>
      <c r="I32" s="21"/>
      <c r="J32" s="82" t="str">
        <f t="shared" si="0"/>
        <v/>
      </c>
      <c r="K32" s="21"/>
      <c r="L32" s="75" t="str" cm="1">
        <f t="array" ref="L32">IFERROR(SUBSTITUTE(_xlfn._xlws.FILTER(Base!$F$4:$F$99, (Base!$C$4:$C$99=J32)*(Base!$D$4:$D$99=G32)*(Base!$E$4:$E$99=K32)),"[Prénom]",F32),"")</f>
        <v/>
      </c>
      <c r="M32" s="24"/>
    </row>
    <row r="33" spans="5:13" ht="15.75" x14ac:dyDescent="0.25">
      <c r="E33" s="76"/>
      <c r="F33" s="76"/>
      <c r="G33" s="76"/>
      <c r="H33" s="76"/>
      <c r="I33" s="76"/>
      <c r="J33" s="77"/>
      <c r="K33" s="76"/>
      <c r="L33" s="78"/>
      <c r="M33" s="76"/>
    </row>
    <row r="34" spans="5:13" ht="15.75" x14ac:dyDescent="0.25">
      <c r="E34" s="76"/>
      <c r="F34" s="76"/>
      <c r="G34" s="76"/>
      <c r="H34" s="76"/>
      <c r="I34" s="76"/>
      <c r="J34" s="77"/>
      <c r="K34" s="76"/>
      <c r="L34" s="78"/>
      <c r="M34" s="76"/>
    </row>
    <row r="35" spans="5:13" ht="15.75" x14ac:dyDescent="0.25">
      <c r="E35" s="76"/>
      <c r="F35" s="76"/>
      <c r="G35" s="76"/>
      <c r="H35" s="76"/>
      <c r="I35" s="76"/>
      <c r="J35" s="77"/>
      <c r="K35" s="76"/>
      <c r="L35" s="78"/>
      <c r="M35" s="76"/>
    </row>
    <row r="36" spans="5:13" ht="15.75" x14ac:dyDescent="0.25">
      <c r="E36" s="76"/>
      <c r="F36" s="76"/>
      <c r="G36" s="76"/>
      <c r="H36" s="76"/>
      <c r="I36" s="76"/>
      <c r="J36" s="77"/>
      <c r="K36" s="76"/>
      <c r="L36" s="78"/>
      <c r="M36" s="76"/>
    </row>
    <row r="37" spans="5:13" ht="15.75" x14ac:dyDescent="0.25">
      <c r="E37" s="76"/>
      <c r="F37" s="76"/>
      <c r="G37" s="76"/>
      <c r="H37" s="76"/>
      <c r="I37" s="76"/>
      <c r="J37" s="77"/>
      <c r="K37" s="76"/>
      <c r="L37" s="78"/>
      <c r="M37" s="76"/>
    </row>
    <row r="38" spans="5:13" ht="15.75" x14ac:dyDescent="0.25">
      <c r="E38" s="76"/>
      <c r="F38" s="76"/>
      <c r="G38" s="76"/>
      <c r="H38" s="76"/>
      <c r="I38" s="76"/>
      <c r="J38" s="77"/>
      <c r="K38" s="76"/>
      <c r="L38" s="78"/>
      <c r="M38" s="76"/>
    </row>
    <row r="39" spans="5:13" ht="15.75" x14ac:dyDescent="0.25">
      <c r="E39" s="76"/>
      <c r="F39" s="76"/>
      <c r="G39" s="76"/>
      <c r="H39" s="76"/>
      <c r="I39" s="76"/>
      <c r="J39" s="77"/>
      <c r="K39" s="76"/>
      <c r="L39" s="78"/>
      <c r="M39" s="76"/>
    </row>
    <row r="40" spans="5:13" ht="15.75" x14ac:dyDescent="0.25">
      <c r="E40" s="76"/>
      <c r="F40" s="76"/>
      <c r="G40" s="76"/>
      <c r="H40" s="76"/>
      <c r="I40" s="76"/>
      <c r="J40" s="77"/>
      <c r="K40" s="76"/>
      <c r="L40" s="78"/>
      <c r="M40" s="76"/>
    </row>
    <row r="41" spans="5:13" ht="15.75" x14ac:dyDescent="0.25">
      <c r="E41" s="76"/>
      <c r="F41" s="76"/>
      <c r="G41" s="76"/>
      <c r="H41" s="76"/>
      <c r="I41" s="76"/>
      <c r="J41" s="77"/>
      <c r="K41" s="76"/>
      <c r="L41" s="78"/>
      <c r="M41" s="76"/>
    </row>
    <row r="42" spans="5:13" ht="15.75" x14ac:dyDescent="0.25">
      <c r="E42" s="76"/>
      <c r="F42" s="76"/>
      <c r="G42" s="76"/>
      <c r="H42" s="76"/>
      <c r="I42" s="76"/>
      <c r="J42" s="77"/>
      <c r="K42" s="76"/>
      <c r="L42" s="78"/>
      <c r="M42" s="76"/>
    </row>
    <row r="43" spans="5:13" ht="15.75" x14ac:dyDescent="0.25">
      <c r="E43" s="76"/>
      <c r="F43" s="76"/>
      <c r="G43" s="76"/>
      <c r="H43" s="76"/>
      <c r="I43" s="76"/>
      <c r="J43" s="77"/>
      <c r="K43" s="76"/>
      <c r="L43" s="78"/>
      <c r="M43" s="76"/>
    </row>
    <row r="44" spans="5:13" ht="15.75" x14ac:dyDescent="0.25">
      <c r="E44" s="76"/>
      <c r="F44" s="76"/>
      <c r="G44" s="76"/>
      <c r="H44" s="76"/>
      <c r="I44" s="76"/>
      <c r="J44" s="77"/>
      <c r="K44" s="76"/>
      <c r="L44" s="78"/>
      <c r="M44" s="76"/>
    </row>
    <row r="45" spans="5:13" ht="15.75" x14ac:dyDescent="0.25">
      <c r="E45" s="76"/>
      <c r="F45" s="76"/>
      <c r="G45" s="76"/>
      <c r="H45" s="76"/>
      <c r="I45" s="76"/>
      <c r="J45" s="77"/>
      <c r="K45" s="76"/>
      <c r="L45" s="78"/>
      <c r="M45" s="76"/>
    </row>
    <row r="46" spans="5:13" ht="15.75" x14ac:dyDescent="0.25">
      <c r="E46" s="76"/>
      <c r="F46" s="76"/>
      <c r="G46" s="76"/>
      <c r="H46" s="76"/>
      <c r="I46" s="76"/>
      <c r="J46" s="77"/>
      <c r="K46" s="76"/>
      <c r="L46" s="78"/>
      <c r="M46" s="76"/>
    </row>
    <row r="47" spans="5:13" ht="15.75" x14ac:dyDescent="0.25">
      <c r="E47" s="76"/>
      <c r="F47" s="76"/>
      <c r="G47" s="76"/>
      <c r="H47" s="76"/>
      <c r="I47" s="76"/>
      <c r="J47" s="77"/>
      <c r="K47" s="76"/>
      <c r="L47" s="78"/>
      <c r="M47" s="76"/>
    </row>
    <row r="48" spans="5:13" ht="15.75" x14ac:dyDescent="0.25">
      <c r="E48" s="76"/>
      <c r="F48" s="76"/>
      <c r="G48" s="76"/>
      <c r="H48" s="76"/>
      <c r="I48" s="76"/>
      <c r="J48" s="77"/>
      <c r="K48" s="76"/>
      <c r="L48" s="78"/>
      <c r="M48" s="76"/>
    </row>
    <row r="49" spans="5:13" ht="15.75" x14ac:dyDescent="0.25">
      <c r="E49" s="76"/>
      <c r="F49" s="76"/>
      <c r="G49" s="76"/>
      <c r="H49" s="76"/>
      <c r="I49" s="76"/>
      <c r="J49" s="77"/>
      <c r="K49" s="76"/>
      <c r="L49" s="78"/>
      <c r="M49" s="76"/>
    </row>
    <row r="50" spans="5:13" ht="15.75" x14ac:dyDescent="0.25">
      <c r="E50" s="76"/>
      <c r="F50" s="76"/>
      <c r="G50" s="76"/>
      <c r="H50" s="76"/>
      <c r="I50" s="76"/>
      <c r="J50" s="77"/>
      <c r="K50" s="76"/>
      <c r="L50" s="78"/>
      <c r="M50" s="76"/>
    </row>
    <row r="51" spans="5:13" ht="15.75" x14ac:dyDescent="0.25">
      <c r="E51" s="76"/>
      <c r="F51" s="76"/>
      <c r="G51" s="76"/>
      <c r="H51" s="76"/>
      <c r="I51" s="76"/>
      <c r="J51" s="77"/>
      <c r="K51" s="76"/>
      <c r="L51" s="78"/>
      <c r="M51" s="76"/>
    </row>
    <row r="52" spans="5:13" ht="15.75" x14ac:dyDescent="0.25">
      <c r="E52" s="76"/>
      <c r="F52" s="76"/>
      <c r="G52" s="76"/>
      <c r="H52" s="76"/>
      <c r="I52" s="76"/>
      <c r="J52" s="77"/>
      <c r="K52" s="76"/>
      <c r="L52" s="78"/>
      <c r="M52" s="76"/>
    </row>
    <row r="53" spans="5:13" ht="15.75" x14ac:dyDescent="0.25">
      <c r="E53" s="76"/>
      <c r="F53" s="76"/>
      <c r="G53" s="76"/>
      <c r="H53" s="76"/>
      <c r="I53" s="76"/>
      <c r="J53" s="77"/>
      <c r="K53" s="76"/>
      <c r="L53" s="78"/>
      <c r="M53" s="76"/>
    </row>
    <row r="54" spans="5:13" ht="15.75" x14ac:dyDescent="0.25">
      <c r="E54" s="76"/>
      <c r="F54" s="76"/>
      <c r="G54" s="76"/>
      <c r="H54" s="76"/>
      <c r="I54" s="76"/>
      <c r="J54" s="77"/>
      <c r="K54" s="76"/>
      <c r="L54" s="78"/>
      <c r="M54" s="76"/>
    </row>
    <row r="55" spans="5:13" ht="15.75" x14ac:dyDescent="0.25">
      <c r="E55" s="76"/>
      <c r="F55" s="76"/>
      <c r="G55" s="76"/>
      <c r="H55" s="76"/>
      <c r="I55" s="76"/>
      <c r="J55" s="77"/>
      <c r="K55" s="76"/>
      <c r="L55" s="78"/>
      <c r="M55" s="76"/>
    </row>
    <row r="56" spans="5:13" ht="15.75" x14ac:dyDescent="0.25">
      <c r="E56" s="76"/>
      <c r="F56" s="76"/>
      <c r="G56" s="76"/>
      <c r="H56" s="76"/>
      <c r="I56" s="76"/>
      <c r="J56" s="77"/>
      <c r="K56" s="76"/>
      <c r="L56" s="78"/>
      <c r="M56" s="76"/>
    </row>
    <row r="57" spans="5:13" ht="15.75" x14ac:dyDescent="0.25">
      <c r="E57" s="76"/>
      <c r="F57" s="76"/>
      <c r="G57" s="76"/>
      <c r="H57" s="76"/>
      <c r="I57" s="76"/>
      <c r="J57" s="77"/>
      <c r="K57" s="76"/>
      <c r="L57" s="78"/>
      <c r="M57" s="76"/>
    </row>
    <row r="58" spans="5:13" ht="15.75" x14ac:dyDescent="0.25">
      <c r="E58" s="76"/>
      <c r="F58" s="76"/>
      <c r="G58" s="76"/>
      <c r="H58" s="76"/>
      <c r="I58" s="76"/>
      <c r="J58" s="77"/>
      <c r="K58" s="76"/>
      <c r="L58" s="78"/>
      <c r="M58" s="76"/>
    </row>
    <row r="59" spans="5:13" ht="15.75" x14ac:dyDescent="0.25">
      <c r="E59" s="76"/>
      <c r="F59" s="76"/>
      <c r="G59" s="76"/>
      <c r="H59" s="76"/>
      <c r="I59" s="76"/>
      <c r="J59" s="77"/>
      <c r="K59" s="76"/>
      <c r="L59" s="78"/>
      <c r="M59" s="76"/>
    </row>
    <row r="60" spans="5:13" ht="15.75" x14ac:dyDescent="0.25">
      <c r="E60" s="76"/>
      <c r="F60" s="76"/>
      <c r="G60" s="76"/>
      <c r="H60" s="76"/>
      <c r="I60" s="76"/>
      <c r="J60" s="77"/>
      <c r="K60" s="76"/>
      <c r="L60" s="78"/>
      <c r="M60" s="76"/>
    </row>
    <row r="61" spans="5:13" ht="15.75" x14ac:dyDescent="0.25">
      <c r="E61" s="76"/>
      <c r="F61" s="76"/>
      <c r="G61" s="76"/>
      <c r="H61" s="76"/>
      <c r="I61" s="76"/>
      <c r="J61" s="77"/>
      <c r="K61" s="76"/>
      <c r="L61" s="78"/>
      <c r="M61" s="76"/>
    </row>
    <row r="62" spans="5:13" ht="15.75" x14ac:dyDescent="0.25">
      <c r="E62" s="76"/>
      <c r="F62" s="76"/>
      <c r="G62" s="76"/>
      <c r="H62" s="76"/>
      <c r="I62" s="76"/>
      <c r="J62" s="77"/>
      <c r="K62" s="76"/>
      <c r="L62" s="78"/>
      <c r="M62" s="76"/>
    </row>
    <row r="63" spans="5:13" ht="15.75" x14ac:dyDescent="0.25">
      <c r="E63" s="76"/>
      <c r="F63" s="76"/>
      <c r="G63" s="76"/>
      <c r="H63" s="76"/>
      <c r="I63" s="76"/>
      <c r="J63" s="77"/>
      <c r="K63" s="76"/>
      <c r="L63" s="78"/>
      <c r="M63" s="76"/>
    </row>
    <row r="64" spans="5:13" ht="15.75" x14ac:dyDescent="0.25">
      <c r="E64" s="76"/>
      <c r="F64" s="76"/>
      <c r="G64" s="76"/>
      <c r="H64" s="76"/>
      <c r="I64" s="76"/>
      <c r="J64" s="77"/>
      <c r="K64" s="76"/>
      <c r="L64" s="78"/>
      <c r="M64" s="76"/>
    </row>
    <row r="65" spans="5:13" ht="15.75" x14ac:dyDescent="0.25">
      <c r="E65" s="76"/>
      <c r="F65" s="76"/>
      <c r="G65" s="76"/>
      <c r="H65" s="76"/>
      <c r="I65" s="76"/>
      <c r="J65" s="77"/>
      <c r="K65" s="76"/>
      <c r="L65" s="78"/>
      <c r="M65" s="76"/>
    </row>
    <row r="66" spans="5:13" ht="15.75" x14ac:dyDescent="0.25">
      <c r="E66" s="76"/>
      <c r="F66" s="76"/>
      <c r="G66" s="76"/>
      <c r="H66" s="76"/>
      <c r="I66" s="76"/>
      <c r="J66" s="77"/>
      <c r="K66" s="76"/>
      <c r="L66" s="78"/>
      <c r="M66" s="76"/>
    </row>
    <row r="67" spans="5:13" ht="15.75" x14ac:dyDescent="0.25">
      <c r="E67" s="76"/>
      <c r="F67" s="76"/>
      <c r="G67" s="76"/>
      <c r="H67" s="76"/>
      <c r="I67" s="76"/>
      <c r="J67" s="77"/>
      <c r="K67" s="76"/>
      <c r="L67" s="78"/>
      <c r="M67" s="76"/>
    </row>
    <row r="68" spans="5:13" ht="15.75" x14ac:dyDescent="0.25">
      <c r="E68" s="76"/>
      <c r="F68" s="76"/>
      <c r="G68" s="76"/>
      <c r="H68" s="76"/>
      <c r="I68" s="76"/>
      <c r="J68" s="77"/>
      <c r="K68" s="76"/>
      <c r="L68" s="78"/>
      <c r="M68" s="76"/>
    </row>
  </sheetData>
  <sheetProtection algorithmName="SHA-512" hashValue="Ux2HWg2vRNltoStY85/8Ky/rhdD/IdKzHmMLRdjqOPylo7sdcguMZrXFpHtMXy1VHtfRwnJg9qsBZkf3UzCwzw==" saltValue="eKhER258uqfEkgVTuuDScg==" spinCount="100000" sheet="1" objects="1" scenarios="1"/>
  <dataValidations count="2">
    <dataValidation type="list" allowBlank="1" showInputMessage="1" showErrorMessage="1" sqref="K3:K32" xr:uid="{45A4B4EE-E59E-4BA9-803B-C0132A874AC8}">
      <formula1>"Bienveillant,Neutre,Exigeant"</formula1>
    </dataValidation>
    <dataValidation type="list" allowBlank="1" showInputMessage="1" showErrorMessage="1" sqref="I3:I32" xr:uid="{525A4333-B16C-441F-9DED-FCE2AB2A49C1}">
      <formula1>$B$3:$B$18</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Sécurité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Florian</dc:creator>
  <cp:lastModifiedBy>Florian Mignot</cp:lastModifiedBy>
  <dcterms:created xsi:type="dcterms:W3CDTF">2015-06-05T18:19:34Z</dcterms:created>
  <dcterms:modified xsi:type="dcterms:W3CDTF">2026-07-19T07:42:53Z</dcterms:modified>
</cp:coreProperties>
</file>